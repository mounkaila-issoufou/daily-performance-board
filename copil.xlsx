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RIETAIRE\Desktop\data analytics\"/>
    </mc:Choice>
  </mc:AlternateContent>
  <xr:revisionPtr revIDLastSave="0" documentId="13_ncr:1_{DAA6E12D-2F87-452C-8EDF-BAFD12BDB294}" xr6:coauthVersionLast="36" xr6:coauthVersionMax="36" xr10:uidLastSave="{00000000-0000-0000-0000-000000000000}"/>
  <bookViews>
    <workbookView xWindow="0" yWindow="0" windowWidth="23040" windowHeight="10284" firstSheet="2" activeTab="5" xr2:uid="{262B7350-0BCB-4C3E-A161-B1063555A7F0}"/>
  </bookViews>
  <sheets>
    <sheet name="01_PARAMETRES" sheetId="2" r:id="rId1"/>
    <sheet name="02_SAISIE_JOUR" sheetId="1" r:id="rId2"/>
    <sheet name="03_HISTORIQUE" sheetId="6" r:id="rId3"/>
    <sheet name="04_KPI" sheetId="3" r:id="rId4"/>
    <sheet name="06_ANALYSE_HEBDO" sheetId="5" r:id="rId5"/>
    <sheet name="05_DASHBOARD_JOUR" sheetId="4" r:id="rId6"/>
  </sheets>
  <definedNames>
    <definedName name="_xlchart.v1.0" hidden="1">'03_HISTORIQUE'!$B$4:$B$25</definedName>
    <definedName name="_xlchart.v1.1" hidden="1">'03_HISTORIQUE'!$J$4:$J$25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4" l="1"/>
  <c r="G35" i="4"/>
  <c r="G30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C22" i="4"/>
  <c r="AE22" i="4" s="1"/>
  <c r="AC23" i="4"/>
  <c r="AE23" i="4" s="1"/>
  <c r="AC24" i="4"/>
  <c r="AE24" i="4" s="1"/>
  <c r="AC25" i="4"/>
  <c r="AE25" i="4" s="1"/>
  <c r="AC26" i="4"/>
  <c r="AE26" i="4" s="1"/>
  <c r="AC27" i="4"/>
  <c r="AE27" i="4" s="1"/>
  <c r="AC28" i="4"/>
  <c r="AE28" i="4" s="1"/>
  <c r="AC29" i="4"/>
  <c r="AE29" i="4" s="1"/>
  <c r="AC30" i="4"/>
  <c r="AE30" i="4" s="1"/>
  <c r="AC31" i="4"/>
  <c r="AE31" i="4" s="1"/>
  <c r="AC32" i="4"/>
  <c r="AE32" i="4" s="1"/>
  <c r="AC33" i="4"/>
  <c r="AE33" i="4" s="1"/>
  <c r="AC34" i="4"/>
  <c r="AE34" i="4" s="1"/>
  <c r="AC35" i="4"/>
  <c r="AE35" i="4" s="1"/>
  <c r="AC36" i="4"/>
  <c r="AE36" i="4" s="1"/>
  <c r="AC37" i="4"/>
  <c r="AE37" i="4" s="1"/>
  <c r="AC38" i="4"/>
  <c r="AE38" i="4" s="1"/>
  <c r="AC21" i="4"/>
  <c r="AE21" i="4" s="1"/>
  <c r="AF21" i="4"/>
  <c r="I16" i="6"/>
  <c r="AA2" i="4"/>
  <c r="AC4" i="4" s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I5" i="6"/>
  <c r="I6" i="6"/>
  <c r="I7" i="6"/>
  <c r="I8" i="6"/>
  <c r="I9" i="6"/>
  <c r="I10" i="6"/>
  <c r="I11" i="6"/>
  <c r="I12" i="6"/>
  <c r="I13" i="6"/>
  <c r="I14" i="6"/>
  <c r="I15" i="6"/>
  <c r="I17" i="6"/>
  <c r="I18" i="6"/>
  <c r="I19" i="6"/>
  <c r="I20" i="6"/>
  <c r="I21" i="6"/>
  <c r="I22" i="6"/>
  <c r="I23" i="6"/>
  <c r="I24" i="6"/>
  <c r="I25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G26" i="4" l="1"/>
  <c r="AB10" i="4"/>
  <c r="AA10" i="4"/>
  <c r="G24" i="4"/>
  <c r="W14" i="4"/>
  <c r="AC2" i="4"/>
  <c r="AB3" i="4"/>
  <c r="O10" i="4" s="1"/>
  <c r="AD4" i="4"/>
  <c r="AB2" i="4"/>
  <c r="G10" i="4" s="1"/>
  <c r="AD2" i="4"/>
  <c r="AD3" i="4"/>
  <c r="AB4" i="4"/>
  <c r="W10" i="4" s="1"/>
  <c r="AC3" i="4"/>
  <c r="G28" i="4" l="1"/>
  <c r="AC10" i="4"/>
  <c r="G14" i="4"/>
  <c r="AF2" i="4"/>
  <c r="AE2" i="4"/>
  <c r="C14" i="4" s="1"/>
  <c r="AF4" i="4"/>
  <c r="AE4" i="4"/>
  <c r="S14" i="4" s="1"/>
  <c r="AE3" i="4"/>
  <c r="K14" i="4" s="1"/>
  <c r="O14" i="4"/>
  <c r="AF3" i="4"/>
  <c r="AE10" i="4" l="1"/>
  <c r="AD10" i="4"/>
  <c r="AI3" i="4"/>
  <c r="K12" i="4" s="1"/>
  <c r="AH3" i="4"/>
  <c r="N18" i="4"/>
  <c r="AG3" i="4"/>
  <c r="K10" i="4" s="1"/>
  <c r="AG4" i="4"/>
  <c r="S10" i="4" s="1"/>
  <c r="AI4" i="4"/>
  <c r="S12" i="4" s="1"/>
  <c r="V18" i="4"/>
  <c r="AH4" i="4"/>
  <c r="AG2" i="4"/>
  <c r="C10" i="4" s="1"/>
  <c r="AI2" i="4"/>
  <c r="C12" i="4" s="1"/>
  <c r="AH2" i="4"/>
  <c r="F18" i="4"/>
</calcChain>
</file>

<file path=xl/sharedStrings.xml><?xml version="1.0" encoding="utf-8"?>
<sst xmlns="http://schemas.openxmlformats.org/spreadsheetml/2006/main" count="167" uniqueCount="75">
  <si>
    <t>FormatID</t>
  </si>
  <si>
    <t>Format</t>
  </si>
  <si>
    <t>F200</t>
  </si>
  <si>
    <t>200 g</t>
  </si>
  <si>
    <t>F270</t>
  </si>
  <si>
    <t>270 g</t>
  </si>
  <si>
    <t>F350</t>
  </si>
  <si>
    <t>350 g</t>
  </si>
  <si>
    <t>Objectifs</t>
  </si>
  <si>
    <t>Objectif Journalier</t>
  </si>
  <si>
    <t>Seuils visuels</t>
  </si>
  <si>
    <t>Indicateur</t>
  </si>
  <si>
    <t>Vert</t>
  </si>
  <si>
    <t>Orange</t>
  </si>
  <si>
    <t>Rouge</t>
  </si>
  <si>
    <t>Production</t>
  </si>
  <si>
    <t>&gt;100%</t>
  </si>
  <si>
    <t>95-100%</t>
  </si>
  <si>
    <t>&lt;95%</t>
  </si>
  <si>
    <t>Déclassement</t>
  </si>
  <si>
    <t>&lt;1,5%</t>
  </si>
  <si>
    <t>1,5-2%</t>
  </si>
  <si>
    <t>&gt;2%</t>
  </si>
  <si>
    <t>Objectif</t>
  </si>
  <si>
    <t>Réalisé</t>
  </si>
  <si>
    <t>Déclassés</t>
  </si>
  <si>
    <t>T_DASHBOARD</t>
  </si>
  <si>
    <t>PARAMETRE</t>
  </si>
  <si>
    <t>VALEUR</t>
  </si>
  <si>
    <t>Nb jours tendance</t>
  </si>
  <si>
    <t>Heure rafraîchissement</t>
  </si>
  <si>
    <t>Affichage objectif</t>
  </si>
  <si>
    <t>Oui</t>
  </si>
  <si>
    <t>Affichage déclassement</t>
  </si>
  <si>
    <t xml:space="preserve">ATELIER CONDITIONNEMENT </t>
  </si>
  <si>
    <t>DATE</t>
  </si>
  <si>
    <t>TRI DES DÉCLASSÉS</t>
  </si>
  <si>
    <t>FORMAT</t>
  </si>
  <si>
    <t>OBJECTIF_JOUR</t>
  </si>
  <si>
    <t>REALISE</t>
  </si>
  <si>
    <t>DECLASSES</t>
  </si>
  <si>
    <t>COMMENTAIRE</t>
  </si>
  <si>
    <t>RAS</t>
  </si>
  <si>
    <t>Changement lot</t>
  </si>
  <si>
    <t>Nettoyage</t>
  </si>
  <si>
    <t>Micro-arrêt</t>
  </si>
  <si>
    <t>Changement format</t>
  </si>
  <si>
    <t>Arrêt peseuse 20 min</t>
  </si>
  <si>
    <t>ECART</t>
  </si>
  <si>
    <t>TAUX_REALISATION</t>
  </si>
  <si>
    <t>TAUX_DECLASSEMENT</t>
  </si>
  <si>
    <t>date</t>
  </si>
  <si>
    <t>200g</t>
  </si>
  <si>
    <t>Ecart</t>
  </si>
  <si>
    <t>Taux réalisation</t>
  </si>
  <si>
    <t>270g</t>
  </si>
  <si>
    <t>350g</t>
  </si>
  <si>
    <t>Statut</t>
  </si>
  <si>
    <t>couleur</t>
  </si>
  <si>
    <t>arrow</t>
  </si>
  <si>
    <t>SATUT</t>
  </si>
  <si>
    <t>OBJECTIF</t>
  </si>
  <si>
    <t>ÉVOLUTION DU TAUX DE DÉCLASSEMENT (%)</t>
  </si>
  <si>
    <t>PIECES</t>
  </si>
  <si>
    <t>TAUX</t>
  </si>
  <si>
    <t>(Poids non conforme)</t>
  </si>
  <si>
    <t>FORMATS: 200g | 270g | 350g</t>
  </si>
  <si>
    <t>Écart vs objectif</t>
  </si>
  <si>
    <t>P</t>
  </si>
  <si>
    <t>TAUX DECLASSEMENT</t>
  </si>
  <si>
    <t>PRODUCTION TOTALE</t>
  </si>
  <si>
    <t>DECLASSES DU JOUR</t>
  </si>
  <si>
    <t>TAUX REALISATION</t>
  </si>
  <si>
    <t>STATUT QUALITE</t>
  </si>
  <si>
    <t>8h00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</si>
</sst>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%"/>
    <numFmt numFmtId="171" formatCode="\+#\ ##0;\-#\ ##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Segoe UI Semibold"/>
      <family val="2"/>
    </font>
    <font>
      <sz val="22"/>
      <color theme="1"/>
      <name val="Segoe UI Semibold"/>
      <family val="2"/>
    </font>
    <font>
      <sz val="18"/>
      <color theme="1"/>
      <name val="Segoe UI Semibold"/>
      <family val="2"/>
    </font>
    <font>
      <sz val="20"/>
      <color theme="1"/>
      <name val="Segoe UI Semibold"/>
      <family val="2"/>
    </font>
    <font>
      <sz val="26"/>
      <color theme="1"/>
      <name val="Segoe UI Semibold"/>
      <family val="2"/>
    </font>
    <font>
      <sz val="28"/>
      <color theme="1"/>
      <name val="Segoe UI Semibold"/>
      <family val="2"/>
    </font>
    <font>
      <sz val="36"/>
      <color theme="1"/>
      <name val="Segoe UI Semibold"/>
      <family val="2"/>
    </font>
    <font>
      <b/>
      <sz val="28"/>
      <color theme="1"/>
      <name val="Segoe UI Semibold"/>
      <family val="2"/>
    </font>
    <font>
      <sz val="48"/>
      <color theme="1"/>
      <name val="Segoe UI Semibold"/>
      <family val="2"/>
    </font>
    <font>
      <sz val="72"/>
      <color theme="1"/>
      <name val="Segoe UI Semibold"/>
      <family val="2"/>
    </font>
    <font>
      <b/>
      <sz val="20"/>
      <color theme="1"/>
      <name val="Segoe UI Semibold"/>
      <family val="2"/>
    </font>
    <font>
      <b/>
      <sz val="22"/>
      <color theme="1"/>
      <name val="Segoe UI Semibold"/>
      <family val="2"/>
    </font>
    <font>
      <b/>
      <sz val="48"/>
      <color theme="1"/>
      <name val="Segoe UI Semibold"/>
      <family val="2"/>
    </font>
    <font>
      <b/>
      <sz val="32"/>
      <color theme="1"/>
      <name val="Segoe UI Semibold"/>
      <family val="2"/>
    </font>
    <font>
      <sz val="28"/>
      <color rgb="FFFF0000"/>
      <name val="Segoe UI Semibold"/>
      <family val="2"/>
    </font>
    <font>
      <sz val="28"/>
      <color rgb="FF00B050"/>
      <name val="Segoe UI Semibold"/>
      <family val="2"/>
    </font>
    <font>
      <sz val="28"/>
      <color rgb="FFFFC000"/>
      <name val="Segoe UI Semibold"/>
      <family val="2"/>
    </font>
    <font>
      <sz val="72"/>
      <color rgb="FF00B050"/>
      <name val="Segoe UI Semibold"/>
      <family val="2"/>
    </font>
    <font>
      <sz val="72"/>
      <color rgb="FFFF0000"/>
      <name val="Segoe UI Semibold"/>
      <family val="2"/>
    </font>
    <font>
      <sz val="72"/>
      <color theme="7"/>
      <name val="Segoe UI Semibold"/>
      <family val="2"/>
    </font>
    <font>
      <b/>
      <sz val="36"/>
      <color rgb="FFFF0000"/>
      <name val="Segoe UI Semibold"/>
      <family val="2"/>
    </font>
    <font>
      <b/>
      <sz val="36"/>
      <color rgb="FFFFC000"/>
      <name val="Segoe UI Semibold"/>
      <family val="2"/>
    </font>
    <font>
      <b/>
      <sz val="36"/>
      <color rgb="FF00B050"/>
      <name val="Segoe UI Semibold"/>
      <family val="2"/>
    </font>
    <font>
      <b/>
      <sz val="22"/>
      <color theme="1"/>
      <name val="Arial Unicode MS"/>
    </font>
    <font>
      <b/>
      <sz val="48"/>
      <color theme="0"/>
      <name val="Segoe UI Semibold"/>
      <family val="2"/>
    </font>
    <font>
      <sz val="11"/>
      <color theme="0"/>
      <name val="Segoe UI Semibold"/>
      <family val="2"/>
    </font>
    <font>
      <b/>
      <sz val="14"/>
      <color theme="0"/>
      <name val="Segoe UI Semibold"/>
      <family val="2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26"/>
      <color theme="0"/>
      <name val="Segoe UI Semibold"/>
      <family val="2"/>
    </font>
    <font>
      <b/>
      <sz val="20"/>
      <color theme="1"/>
      <name val="Calibri"/>
      <family val="2"/>
      <scheme val="minor"/>
    </font>
    <font>
      <b/>
      <sz val="24"/>
      <color rgb="FFFF0000"/>
      <name val="Segoe UI Semibold"/>
      <family val="2"/>
    </font>
    <font>
      <b/>
      <sz val="24"/>
      <color rgb="FFFFC000"/>
      <name val="Segoe UI Semibold"/>
      <family val="2"/>
    </font>
    <font>
      <b/>
      <sz val="24"/>
      <color rgb="FF00B050"/>
      <name val="Segoe UI Semibold"/>
      <family val="2"/>
    </font>
    <font>
      <b/>
      <sz val="24"/>
      <color theme="4" tint="-0.499984740745262"/>
      <name val="Segoe UI Semibold"/>
      <family val="2"/>
    </font>
    <font>
      <b/>
      <sz val="48"/>
      <color theme="4" tint="-0.499984740745262"/>
      <name val="Segoe UI Semibold"/>
      <family val="2"/>
    </font>
    <font>
      <b/>
      <sz val="18"/>
      <color theme="4" tint="-0.499984740745262"/>
      <name val="Segoe UI Semibold"/>
      <family val="2"/>
    </font>
    <font>
      <b/>
      <sz val="36"/>
      <color theme="0"/>
      <name val="Segoe UI Semibold"/>
      <family val="2"/>
    </font>
    <font>
      <b/>
      <sz val="22"/>
      <color rgb="FF002060"/>
      <name val="Segoe UI Semibold"/>
      <family val="2"/>
    </font>
    <font>
      <b/>
      <sz val="28"/>
      <color rgb="FF002060"/>
      <name val="Segoe UI Semibold"/>
      <family val="2"/>
    </font>
    <font>
      <b/>
      <sz val="36"/>
      <color rgb="FF002060"/>
      <name val="Segoe UI Semibold"/>
      <family val="2"/>
    </font>
    <font>
      <b/>
      <sz val="48"/>
      <color rgb="FF002060"/>
      <name val="Segoe UI Semibold"/>
      <family val="2"/>
    </font>
    <font>
      <b/>
      <sz val="11"/>
      <color rgb="FF002060"/>
      <name val="Segoe UI Semibold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E933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0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6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14" fontId="0" fillId="0" borderId="1" xfId="0" applyNumberFormat="1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10" fontId="0" fillId="0" borderId="0" xfId="0" applyNumberFormat="1" applyAlignment="1">
      <alignment vertical="center" wrapText="1"/>
    </xf>
    <xf numFmtId="14" fontId="6" fillId="0" borderId="0" xfId="0" applyNumberFormat="1" applyFont="1"/>
    <xf numFmtId="169" fontId="6" fillId="0" borderId="0" xfId="1" applyNumberFormat="1" applyFont="1"/>
    <xf numFmtId="10" fontId="6" fillId="0" borderId="0" xfId="1" applyNumberFormat="1" applyFont="1"/>
    <xf numFmtId="0" fontId="8" fillId="0" borderId="0" xfId="0" applyFont="1" applyBorder="1"/>
    <xf numFmtId="0" fontId="9" fillId="0" borderId="0" xfId="0" applyFont="1" applyBorder="1"/>
    <xf numFmtId="0" fontId="11" fillId="0" borderId="0" xfId="0" applyFont="1" applyBorder="1"/>
    <xf numFmtId="0" fontId="13" fillId="0" borderId="0" xfId="0" applyFont="1" applyBorder="1"/>
    <xf numFmtId="0" fontId="8" fillId="0" borderId="0" xfId="0" applyFont="1"/>
    <xf numFmtId="0" fontId="6" fillId="0" borderId="3" xfId="0" applyFont="1" applyBorder="1"/>
    <xf numFmtId="0" fontId="11" fillId="0" borderId="0" xfId="0" applyFont="1"/>
    <xf numFmtId="0" fontId="13" fillId="0" borderId="0" xfId="0" applyFont="1"/>
    <xf numFmtId="0" fontId="19" fillId="0" borderId="0" xfId="0" applyFont="1" applyBorder="1"/>
    <xf numFmtId="0" fontId="19" fillId="0" borderId="0" xfId="0" applyFont="1"/>
    <xf numFmtId="0" fontId="16" fillId="0" borderId="0" xfId="0" applyFont="1" applyBorder="1"/>
    <xf numFmtId="0" fontId="17" fillId="0" borderId="0" xfId="0" applyFont="1" applyBorder="1"/>
    <xf numFmtId="0" fontId="6" fillId="6" borderId="0" xfId="0" applyFont="1" applyFill="1" applyBorder="1"/>
    <xf numFmtId="0" fontId="23" fillId="0" borderId="0" xfId="0" applyFont="1" applyBorder="1" applyAlignment="1">
      <alignment horizontal="center"/>
    </xf>
    <xf numFmtId="0" fontId="15" fillId="0" borderId="0" xfId="0" applyFont="1" applyBorder="1"/>
    <xf numFmtId="0" fontId="15" fillId="0" borderId="0" xfId="0" applyFont="1"/>
    <xf numFmtId="0" fontId="24" fillId="0" borderId="0" xfId="0" applyFont="1" applyBorder="1" applyAlignment="1">
      <alignment horizontal="center"/>
    </xf>
    <xf numFmtId="0" fontId="6" fillId="0" borderId="4" xfId="0" applyFont="1" applyBorder="1"/>
    <xf numFmtId="0" fontId="6" fillId="6" borderId="5" xfId="0" applyFont="1" applyFill="1" applyBorder="1"/>
    <xf numFmtId="0" fontId="6" fillId="6" borderId="6" xfId="0" applyFont="1" applyFill="1" applyBorder="1"/>
    <xf numFmtId="0" fontId="6" fillId="0" borderId="6" xfId="0" applyFont="1" applyBorder="1"/>
    <xf numFmtId="0" fontId="6" fillId="0" borderId="7" xfId="0" applyFont="1" applyBorder="1"/>
    <xf numFmtId="0" fontId="6" fillId="6" borderId="8" xfId="0" applyFont="1" applyFill="1" applyBorder="1"/>
    <xf numFmtId="0" fontId="6" fillId="0" borderId="9" xfId="0" applyFont="1" applyBorder="1"/>
    <xf numFmtId="0" fontId="6" fillId="0" borderId="11" xfId="0" applyFont="1" applyBorder="1"/>
    <xf numFmtId="0" fontId="25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9" fillId="0" borderId="6" xfId="0" applyFont="1" applyBorder="1" applyAlignment="1">
      <alignment vertical="center"/>
    </xf>
    <xf numFmtId="0" fontId="17" fillId="0" borderId="6" xfId="0" applyFont="1" applyBorder="1"/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3" fillId="0" borderId="15" xfId="0" applyFont="1" applyBorder="1"/>
    <xf numFmtId="0" fontId="13" fillId="0" borderId="16" xfId="0" applyFont="1" applyBorder="1"/>
    <xf numFmtId="0" fontId="6" fillId="0" borderId="15" xfId="0" applyFont="1" applyBorder="1"/>
    <xf numFmtId="0" fontId="6" fillId="0" borderId="16" xfId="0" applyFont="1" applyBorder="1"/>
    <xf numFmtId="0" fontId="11" fillId="0" borderId="15" xfId="0" applyFont="1" applyBorder="1"/>
    <xf numFmtId="0" fontId="11" fillId="0" borderId="16" xfId="0" applyFont="1" applyBorder="1"/>
    <xf numFmtId="0" fontId="8" fillId="0" borderId="15" xfId="0" applyFont="1" applyBorder="1"/>
    <xf numFmtId="0" fontId="8" fillId="0" borderId="16" xfId="0" applyFont="1" applyBorder="1"/>
    <xf numFmtId="0" fontId="15" fillId="0" borderId="15" xfId="0" applyFont="1" applyBorder="1"/>
    <xf numFmtId="0" fontId="15" fillId="0" borderId="16" xfId="0" applyFont="1" applyBorder="1"/>
    <xf numFmtId="0" fontId="19" fillId="0" borderId="15" xfId="0" applyFont="1" applyBorder="1"/>
    <xf numFmtId="0" fontId="19" fillId="0" borderId="16" xfId="0" applyFont="1" applyBorder="1"/>
    <xf numFmtId="0" fontId="8" fillId="0" borderId="16" xfId="0" applyFont="1" applyBorder="1" applyAlignment="1">
      <alignment horizontal="center" vertical="center"/>
    </xf>
    <xf numFmtId="0" fontId="30" fillId="0" borderId="0" xfId="0" applyFont="1" applyBorder="1"/>
    <xf numFmtId="0" fontId="30" fillId="8" borderId="13" xfId="0" applyFont="1" applyFill="1" applyBorder="1" applyAlignment="1">
      <alignment horizontal="center"/>
    </xf>
    <xf numFmtId="0" fontId="30" fillId="8" borderId="12" xfId="0" applyFont="1" applyFill="1" applyBorder="1" applyAlignment="1">
      <alignment horizontal="center"/>
    </xf>
    <xf numFmtId="0" fontId="30" fillId="8" borderId="14" xfId="0" applyFont="1" applyFill="1" applyBorder="1" applyAlignment="1">
      <alignment horizontal="center"/>
    </xf>
    <xf numFmtId="0" fontId="30" fillId="0" borderId="0" xfId="0" applyFont="1"/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34" fillId="6" borderId="0" xfId="0" applyFont="1" applyFill="1" applyBorder="1"/>
    <xf numFmtId="0" fontId="34" fillId="6" borderId="6" xfId="0" applyFont="1" applyFill="1" applyBorder="1"/>
    <xf numFmtId="0" fontId="34" fillId="6" borderId="6" xfId="0" applyFont="1" applyFill="1" applyBorder="1" applyAlignment="1">
      <alignment horizontal="center" vertical="center"/>
    </xf>
    <xf numFmtId="0" fontId="34" fillId="6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32" fillId="0" borderId="8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/>
    </xf>
    <xf numFmtId="0" fontId="16" fillId="0" borderId="8" xfId="0" applyFont="1" applyBorder="1"/>
    <xf numFmtId="0" fontId="9" fillId="0" borderId="0" xfId="0" applyFont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30" fillId="5" borderId="20" xfId="0" applyFont="1" applyFill="1" applyBorder="1" applyAlignment="1">
      <alignment horizontal="center"/>
    </xf>
    <xf numFmtId="0" fontId="30" fillId="5" borderId="21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13" fillId="0" borderId="23" xfId="0" applyFont="1" applyBorder="1"/>
    <xf numFmtId="0" fontId="13" fillId="0" borderId="24" xfId="0" applyFont="1" applyBorder="1"/>
    <xf numFmtId="0" fontId="6" fillId="0" borderId="23" xfId="0" applyFont="1" applyBorder="1"/>
    <xf numFmtId="0" fontId="6" fillId="0" borderId="24" xfId="0" applyFont="1" applyBorder="1"/>
    <xf numFmtId="0" fontId="11" fillId="0" borderId="23" xfId="0" applyFont="1" applyBorder="1"/>
    <xf numFmtId="0" fontId="11" fillId="0" borderId="24" xfId="0" applyFont="1" applyBorder="1"/>
    <xf numFmtId="0" fontId="8" fillId="0" borderId="23" xfId="0" applyFont="1" applyBorder="1"/>
    <xf numFmtId="0" fontId="8" fillId="0" borderId="24" xfId="0" applyFont="1" applyBorder="1"/>
    <xf numFmtId="0" fontId="15" fillId="0" borderId="23" xfId="0" applyFont="1" applyBorder="1"/>
    <xf numFmtId="0" fontId="15" fillId="0" borderId="24" xfId="0" applyFont="1" applyBorder="1"/>
    <xf numFmtId="0" fontId="19" fillId="0" borderId="23" xfId="0" applyFont="1" applyBorder="1"/>
    <xf numFmtId="0" fontId="19" fillId="0" borderId="24" xfId="0" applyFont="1" applyBorder="1"/>
    <xf numFmtId="0" fontId="30" fillId="7" borderId="28" xfId="0" applyFont="1" applyFill="1" applyBorder="1" applyAlignment="1">
      <alignment horizontal="center"/>
    </xf>
    <xf numFmtId="0" fontId="30" fillId="7" borderId="29" xfId="0" applyFont="1" applyFill="1" applyBorder="1" applyAlignment="1">
      <alignment horizontal="center"/>
    </xf>
    <xf numFmtId="0" fontId="30" fillId="7" borderId="30" xfId="0" applyFont="1" applyFill="1" applyBorder="1" applyAlignment="1">
      <alignment horizontal="center"/>
    </xf>
    <xf numFmtId="0" fontId="13" fillId="0" borderId="31" xfId="0" applyFont="1" applyBorder="1"/>
    <xf numFmtId="0" fontId="13" fillId="0" borderId="32" xfId="0" applyFont="1" applyBorder="1"/>
    <xf numFmtId="0" fontId="6" fillId="0" borderId="31" xfId="0" applyFont="1" applyBorder="1"/>
    <xf numFmtId="0" fontId="6" fillId="0" borderId="32" xfId="0" applyFont="1" applyBorder="1"/>
    <xf numFmtId="0" fontId="11" fillId="0" borderId="31" xfId="0" applyFont="1" applyBorder="1"/>
    <xf numFmtId="0" fontId="11" fillId="0" borderId="32" xfId="0" applyFont="1" applyBorder="1"/>
    <xf numFmtId="0" fontId="8" fillId="0" borderId="31" xfId="0" applyFont="1" applyBorder="1"/>
    <xf numFmtId="0" fontId="8" fillId="0" borderId="32" xfId="0" applyFont="1" applyBorder="1"/>
    <xf numFmtId="0" fontId="15" fillId="0" borderId="31" xfId="0" applyFont="1" applyBorder="1"/>
    <xf numFmtId="0" fontId="15" fillId="0" borderId="32" xfId="0" applyFont="1" applyBorder="1"/>
    <xf numFmtId="0" fontId="19" fillId="0" borderId="31" xfId="0" applyFont="1" applyBorder="1"/>
    <xf numFmtId="0" fontId="19" fillId="0" borderId="32" xfId="0" applyFont="1" applyBorder="1"/>
    <xf numFmtId="0" fontId="8" fillId="0" borderId="32" xfId="0" applyFont="1" applyBorder="1" applyAlignment="1">
      <alignment horizontal="center" vertical="center"/>
    </xf>
    <xf numFmtId="171" fontId="18" fillId="0" borderId="0" xfId="0" applyNumberFormat="1" applyFont="1" applyBorder="1" applyAlignment="1">
      <alignment horizontal="center"/>
    </xf>
    <xf numFmtId="3" fontId="14" fillId="0" borderId="0" xfId="0" applyNumberFormat="1" applyFont="1" applyBorder="1" applyAlignment="1">
      <alignment horizontal="center" vertical="center"/>
    </xf>
    <xf numFmtId="0" fontId="35" fillId="6" borderId="6" xfId="0" applyFont="1" applyFill="1" applyBorder="1"/>
    <xf numFmtId="0" fontId="10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10" fontId="10" fillId="4" borderId="26" xfId="0" applyNumberFormat="1" applyFont="1" applyFill="1" applyBorder="1" applyAlignment="1">
      <alignment horizontal="center" vertical="center"/>
    </xf>
    <xf numFmtId="10" fontId="10" fillId="4" borderId="27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9" borderId="33" xfId="0" applyFont="1" applyFill="1" applyBorder="1" applyAlignment="1">
      <alignment horizontal="center" vertical="center"/>
    </xf>
    <xf numFmtId="0" fontId="10" fillId="9" borderId="34" xfId="0" applyFont="1" applyFill="1" applyBorder="1" applyAlignment="1">
      <alignment horizontal="center" vertical="center"/>
    </xf>
    <xf numFmtId="10" fontId="10" fillId="9" borderId="34" xfId="0" applyNumberFormat="1" applyFont="1" applyFill="1" applyBorder="1" applyAlignment="1">
      <alignment horizontal="center" vertical="center"/>
    </xf>
    <xf numFmtId="10" fontId="10" fillId="9" borderId="35" xfId="0" applyNumberFormat="1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10" fillId="10" borderId="18" xfId="0" applyFont="1" applyFill="1" applyBorder="1" applyAlignment="1">
      <alignment horizontal="center" vertical="center"/>
    </xf>
    <xf numFmtId="10" fontId="10" fillId="10" borderId="18" xfId="0" applyNumberFormat="1" applyFont="1" applyFill="1" applyBorder="1" applyAlignment="1">
      <alignment horizontal="center" vertical="center"/>
    </xf>
    <xf numFmtId="10" fontId="10" fillId="10" borderId="1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7" fillId="0" borderId="0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0" fillId="0" borderId="0" xfId="0" applyFont="1" applyBorder="1"/>
    <xf numFmtId="0" fontId="40" fillId="0" borderId="0" xfId="0" applyFont="1" applyBorder="1" applyAlignment="1">
      <alignment horizontal="center" vertical="center"/>
    </xf>
    <xf numFmtId="3" fontId="41" fillId="0" borderId="0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40" fillId="0" borderId="0" xfId="0" applyFont="1" applyBorder="1"/>
    <xf numFmtId="0" fontId="34" fillId="6" borderId="10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/>
    </xf>
    <xf numFmtId="0" fontId="44" fillId="0" borderId="0" xfId="0" applyFont="1" applyBorder="1" applyAlignment="1">
      <alignment vertical="center"/>
    </xf>
    <xf numFmtId="0" fontId="44" fillId="0" borderId="0" xfId="0" applyFont="1" applyBorder="1" applyAlignment="1">
      <alignment horizontal="center" vertical="center"/>
    </xf>
    <xf numFmtId="0" fontId="45" fillId="0" borderId="0" xfId="0" applyFont="1" applyBorder="1" applyAlignment="1">
      <alignment vertical="center"/>
    </xf>
    <xf numFmtId="0" fontId="46" fillId="0" borderId="0" xfId="0" applyFont="1" applyBorder="1" applyAlignment="1">
      <alignment vertical="center"/>
    </xf>
    <xf numFmtId="0" fontId="47" fillId="0" borderId="0" xfId="0" applyFont="1" applyBorder="1" applyAlignment="1">
      <alignment vertical="center"/>
    </xf>
    <xf numFmtId="0" fontId="48" fillId="0" borderId="0" xfId="0" applyFont="1" applyBorder="1"/>
    <xf numFmtId="0" fontId="48" fillId="0" borderId="0" xfId="0" applyFont="1" applyBorder="1" applyAlignment="1">
      <alignment horizontal="center" vertical="center"/>
    </xf>
    <xf numFmtId="0" fontId="36" fillId="0" borderId="36" xfId="0" applyFont="1" applyBorder="1"/>
    <xf numFmtId="0" fontId="16" fillId="0" borderId="36" xfId="0" applyFont="1" applyBorder="1"/>
    <xf numFmtId="0" fontId="9" fillId="0" borderId="36" xfId="0" applyFont="1" applyBorder="1"/>
    <xf numFmtId="0" fontId="18" fillId="0" borderId="36" xfId="0" applyFont="1" applyBorder="1" applyAlignment="1">
      <alignment horizontal="center" vertical="center"/>
    </xf>
    <xf numFmtId="3" fontId="18" fillId="0" borderId="36" xfId="0" applyNumberFormat="1" applyFont="1" applyBorder="1" applyAlignment="1">
      <alignment horizontal="center" vertical="center"/>
    </xf>
    <xf numFmtId="10" fontId="18" fillId="0" borderId="36" xfId="1" applyNumberFormat="1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1"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EC8EE"/>
      <color rgb="FF1E933E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642312902995794E-2"/>
          <c:y val="4.1450380411309343E-2"/>
          <c:w val="0.81106131138523596"/>
          <c:h val="0.56190903352270838"/>
        </c:manualLayout>
      </c:layout>
      <c:lineChart>
        <c:grouping val="stacked"/>
        <c:varyColors val="0"/>
        <c:ser>
          <c:idx val="0"/>
          <c:order val="0"/>
          <c:tx>
            <c:v>Objectif</c:v>
          </c:tx>
          <c:spPr>
            <a:ln w="3810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'05_DASHBOARD_JOUR'!$AB$21:$AB$27</c:f>
              <c:numCache>
                <c:formatCode>m/d/yyyy</c:formatCode>
                <c:ptCount val="7"/>
                <c:pt idx="0">
                  <c:v>46187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46192</c:v>
                </c:pt>
                <c:pt idx="6">
                  <c:v>46193</c:v>
                </c:pt>
              </c:numCache>
            </c:numRef>
          </c:cat>
          <c:val>
            <c:numRef>
              <c:f>'05_DASHBOARD_JOUR'!$AF$21:$AF$27</c:f>
              <c:numCache>
                <c:formatCode>0.0%</c:formatCode>
                <c:ptCount val="7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378-449F-8774-25B3387EE123}"/>
            </c:ext>
          </c:extLst>
        </c:ser>
        <c:ser>
          <c:idx val="1"/>
          <c:order val="1"/>
          <c:tx>
            <c:v>Taux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'05_DASHBOARD_JOUR'!$AE$21:$AE$27</c:f>
              <c:numCache>
                <c:formatCode>0.00%</c:formatCode>
                <c:ptCount val="7"/>
                <c:pt idx="0">
                  <c:v>7.0356472795497184E-3</c:v>
                </c:pt>
                <c:pt idx="1">
                  <c:v>7.525870178739417E-3</c:v>
                </c:pt>
                <c:pt idx="2">
                  <c:v>5.687058100215186E-3</c:v>
                </c:pt>
                <c:pt idx="3">
                  <c:v>6.5293185419968303E-3</c:v>
                </c:pt>
                <c:pt idx="4">
                  <c:v>6.0890639200242352E-3</c:v>
                </c:pt>
                <c:pt idx="5">
                  <c:v>4.7692784143697738E-3</c:v>
                </c:pt>
                <c:pt idx="6">
                  <c:v>7.668133249528598E-3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378-449F-8774-25B3387EE1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30689023"/>
        <c:axId val="84659231"/>
      </c:lineChart>
      <c:dateAx>
        <c:axId val="203068902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659231"/>
        <c:crosses val="autoZero"/>
        <c:auto val="1"/>
        <c:lblOffset val="100"/>
        <c:baseTimeUnit val="days"/>
      </c:dateAx>
      <c:valAx>
        <c:axId val="8465923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  <a:alpha val="2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0689023"/>
        <c:crosses val="autoZero"/>
        <c:crossBetween val="between"/>
      </c:valAx>
      <c:spPr>
        <a:noFill/>
        <a:ln w="3175">
          <a:noFill/>
          <a:prstDash val="sysDash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7</xdr:row>
      <xdr:rowOff>381000</xdr:rowOff>
    </xdr:from>
    <xdr:to>
      <xdr:col>5</xdr:col>
      <xdr:colOff>289560</xdr:colOff>
      <xdr:row>16</xdr:row>
      <xdr:rowOff>106680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2DAE818D-E29F-494A-95BE-6F21E377DF4F}"/>
            </a:ext>
          </a:extLst>
        </xdr:cNvPr>
        <xdr:cNvCxnSpPr/>
      </xdr:nvCxnSpPr>
      <xdr:spPr>
        <a:xfrm>
          <a:off x="4251960" y="2164080"/>
          <a:ext cx="0" cy="454152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243840</xdr:colOff>
      <xdr:row>7</xdr:row>
      <xdr:rowOff>350520</xdr:rowOff>
    </xdr:from>
    <xdr:to>
      <xdr:col>13</xdr:col>
      <xdr:colOff>243840</xdr:colOff>
      <xdr:row>16</xdr:row>
      <xdr:rowOff>76200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1F856490-5E7C-4266-B574-91F0DCEC483B}"/>
            </a:ext>
          </a:extLst>
        </xdr:cNvPr>
        <xdr:cNvCxnSpPr/>
      </xdr:nvCxnSpPr>
      <xdr:spPr>
        <a:xfrm>
          <a:off x="12237720" y="2133600"/>
          <a:ext cx="0" cy="454152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259080</xdr:colOff>
      <xdr:row>7</xdr:row>
      <xdr:rowOff>411480</xdr:rowOff>
    </xdr:from>
    <xdr:to>
      <xdr:col>21</xdr:col>
      <xdr:colOff>259080</xdr:colOff>
      <xdr:row>16</xdr:row>
      <xdr:rowOff>137160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221863E3-2476-4734-AC1C-FBF7F4EC20CA}"/>
            </a:ext>
          </a:extLst>
        </xdr:cNvPr>
        <xdr:cNvCxnSpPr/>
      </xdr:nvCxnSpPr>
      <xdr:spPr>
        <a:xfrm>
          <a:off x="19796760" y="2194560"/>
          <a:ext cx="0" cy="454152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</xdr:colOff>
      <xdr:row>23</xdr:row>
      <xdr:rowOff>0</xdr:rowOff>
    </xdr:from>
    <xdr:to>
      <xdr:col>23</xdr:col>
      <xdr:colOff>1168400</xdr:colOff>
      <xdr:row>34</xdr:row>
      <xdr:rowOff>254000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975FFE0-9D90-4FED-9148-B27FEF739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1000760</xdr:colOff>
      <xdr:row>11</xdr:row>
      <xdr:rowOff>660400</xdr:rowOff>
    </xdr:from>
    <xdr:to>
      <xdr:col>7</xdr:col>
      <xdr:colOff>104560</xdr:colOff>
      <xdr:row>11</xdr:row>
      <xdr:rowOff>660400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E2D585E9-45FA-49B2-A91D-CE9775263DE0}"/>
            </a:ext>
          </a:extLst>
        </xdr:cNvPr>
        <xdr:cNvCxnSpPr/>
      </xdr:nvCxnSpPr>
      <xdr:spPr>
        <a:xfrm flipV="1">
          <a:off x="5013960" y="6172200"/>
          <a:ext cx="273600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1036320</xdr:colOff>
      <xdr:row>11</xdr:row>
      <xdr:rowOff>736600</xdr:rowOff>
    </xdr:from>
    <xdr:to>
      <xdr:col>15</xdr:col>
      <xdr:colOff>546520</xdr:colOff>
      <xdr:row>11</xdr:row>
      <xdr:rowOff>736600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E2D585E9-45FA-49B2-A91D-CE9775263DE0}"/>
            </a:ext>
          </a:extLst>
        </xdr:cNvPr>
        <xdr:cNvCxnSpPr/>
      </xdr:nvCxnSpPr>
      <xdr:spPr>
        <a:xfrm>
          <a:off x="13304520" y="6248400"/>
          <a:ext cx="273600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782320</xdr:colOff>
      <xdr:row>11</xdr:row>
      <xdr:rowOff>736600</xdr:rowOff>
    </xdr:from>
    <xdr:to>
      <xdr:col>23</xdr:col>
      <xdr:colOff>775120</xdr:colOff>
      <xdr:row>11</xdr:row>
      <xdr:rowOff>736600</xdr:rowOff>
    </xdr:to>
    <xdr:cxnSp macro="">
      <xdr:nvCxnSpPr>
        <xdr:cNvPr id="22" name="Connecteur droit 21">
          <a:extLst>
            <a:ext uri="{FF2B5EF4-FFF2-40B4-BE49-F238E27FC236}">
              <a16:creationId xmlns:a16="http://schemas.microsoft.com/office/drawing/2014/main" id="{AEE34D96-F720-4DDB-B283-AC54BCC852B7}"/>
            </a:ext>
          </a:extLst>
        </xdr:cNvPr>
        <xdr:cNvCxnSpPr/>
      </xdr:nvCxnSpPr>
      <xdr:spPr>
        <a:xfrm>
          <a:off x="21203920" y="6248400"/>
          <a:ext cx="273600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F9BAC2-0E18-415F-8666-72E7B4FDADF6}" name="T_HISTORIQUE" displayName="T_HISTORIQUE" ref="B4:J25" totalsRowShown="0" headerRowDxfId="3" dataDxfId="4">
  <autoFilter ref="B4:J25" xr:uid="{32BE312E-898B-45B2-8004-6C1E73491403}"/>
  <tableColumns count="9">
    <tableColumn id="1" xr3:uid="{CE6A0F34-42D2-478A-BA3D-F28849BDFB93}" name="DATE" dataDxfId="10"/>
    <tableColumn id="2" xr3:uid="{D5C7B792-F16F-457B-A674-E56F9EDD8C1C}" name="FORMAT" dataDxfId="9"/>
    <tableColumn id="3" xr3:uid="{9BB73822-4EE9-45E9-9196-F7C91C16FA41}" name="OBJECTIF_JOUR" dataDxfId="8"/>
    <tableColumn id="4" xr3:uid="{EF306DB6-6897-439A-8E84-A3FC01ADDB6C}" name="REALISE" dataDxfId="7"/>
    <tableColumn id="5" xr3:uid="{20A3C998-DA37-46A4-BB0F-6F4D04080E89}" name="DECLASSES" dataDxfId="6"/>
    <tableColumn id="6" xr3:uid="{6157FD08-7EF3-4FB7-82B8-D5EBFE3588D7}" name="COMMENTAIRE" dataDxfId="5"/>
    <tableColumn id="7" xr3:uid="{2B315B01-FDF9-44B1-8AE6-6A275F99E0B3}" name="ECART" dataDxfId="2">
      <calculatedColumnFormula>T_HISTORIQUE[[#This Row],[REALISE]]-T_HISTORIQUE[[#This Row],[OBJECTIF_JOUR]]</calculatedColumnFormula>
    </tableColumn>
    <tableColumn id="8" xr3:uid="{5448CDA4-42A3-4119-8A65-13D9AB8B8C5A}" name="TAUX_REALISATION" dataDxfId="1">
      <calculatedColumnFormula>IFERROR(T_HISTORIQUE[[#This Row],[REALISE]]/T_HISTORIQUE[[#This Row],[OBJECTIF_JOUR]],0)</calculatedColumnFormula>
    </tableColumn>
    <tableColumn id="9" xr3:uid="{82D751B5-2256-4DB6-B0A0-B0BA78101764}" name="TAUX_DECLASSEMENT" dataDxfId="0">
      <calculatedColumnFormula>IFERROR(T_HISTORIQUE[[#This Row],[DECLASSES]]/T_HISTORIQUE[[#This Row],[REALISE]],0)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CB65-71DC-45D1-9A5A-6940A0EE444C}">
  <dimension ref="A1:D34"/>
  <sheetViews>
    <sheetView workbookViewId="0">
      <selection activeCell="E12" sqref="E12"/>
    </sheetView>
  </sheetViews>
  <sheetFormatPr baseColWidth="10" defaultRowHeight="14.4"/>
  <cols>
    <col min="1" max="1" width="13.10937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9" spans="1:2" ht="15.6">
      <c r="A9" s="3" t="s">
        <v>8</v>
      </c>
    </row>
    <row r="11" spans="1:2" ht="28.8">
      <c r="A11" s="1" t="s">
        <v>1</v>
      </c>
      <c r="B11" s="1" t="s">
        <v>9</v>
      </c>
    </row>
    <row r="12" spans="1:2">
      <c r="A12" s="2" t="s">
        <v>3</v>
      </c>
      <c r="B12" s="2">
        <v>14000</v>
      </c>
    </row>
    <row r="13" spans="1:2">
      <c r="A13" s="2" t="s">
        <v>5</v>
      </c>
      <c r="B13" s="2">
        <v>10000</v>
      </c>
    </row>
    <row r="14" spans="1:2">
      <c r="A14" s="2" t="s">
        <v>7</v>
      </c>
      <c r="B14" s="2">
        <v>8000</v>
      </c>
    </row>
    <row r="19" spans="1:4" ht="15.6">
      <c r="A19" s="3" t="s">
        <v>10</v>
      </c>
    </row>
    <row r="21" spans="1:4">
      <c r="A21" s="1" t="s">
        <v>11</v>
      </c>
      <c r="B21" s="1" t="s">
        <v>12</v>
      </c>
      <c r="C21" s="1" t="s">
        <v>13</v>
      </c>
      <c r="D21" s="1" t="s">
        <v>14</v>
      </c>
    </row>
    <row r="22" spans="1:4">
      <c r="A22" s="2" t="s">
        <v>15</v>
      </c>
      <c r="B22" s="2" t="s">
        <v>16</v>
      </c>
      <c r="C22" s="2" t="s">
        <v>17</v>
      </c>
      <c r="D22" s="2" t="s">
        <v>18</v>
      </c>
    </row>
    <row r="23" spans="1:4" ht="28.8">
      <c r="A23" s="2" t="s">
        <v>19</v>
      </c>
      <c r="B23" s="2" t="s">
        <v>20</v>
      </c>
      <c r="C23" s="2" t="s">
        <v>21</v>
      </c>
      <c r="D23" s="2" t="s">
        <v>22</v>
      </c>
    </row>
    <row r="28" spans="1:4" ht="18">
      <c r="A28" s="4" t="s">
        <v>26</v>
      </c>
    </row>
    <row r="30" spans="1:4">
      <c r="A30" s="1" t="s">
        <v>27</v>
      </c>
      <c r="B30" s="1" t="s">
        <v>28</v>
      </c>
    </row>
    <row r="31" spans="1:4" ht="28.8">
      <c r="A31" s="2" t="s">
        <v>29</v>
      </c>
      <c r="B31" s="2">
        <v>7</v>
      </c>
    </row>
    <row r="32" spans="1:4" ht="43.2">
      <c r="A32" s="2" t="s">
        <v>30</v>
      </c>
      <c r="B32" s="5">
        <v>0.33333333333333331</v>
      </c>
    </row>
    <row r="33" spans="1:2" ht="28.8">
      <c r="A33" s="2" t="s">
        <v>31</v>
      </c>
      <c r="B33" s="2" t="s">
        <v>32</v>
      </c>
    </row>
    <row r="34" spans="1:2" ht="28.8">
      <c r="A34" s="2" t="s">
        <v>33</v>
      </c>
      <c r="B34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9B4A-96C5-4EB4-ACA1-F253B770F0ED}">
  <dimension ref="A1:E22"/>
  <sheetViews>
    <sheetView workbookViewId="0">
      <selection activeCell="H20" sqref="H20"/>
    </sheetView>
  </sheetViews>
  <sheetFormatPr baseColWidth="10" defaultRowHeight="14.4"/>
  <sheetData>
    <row r="1" spans="1:5" ht="28.8">
      <c r="A1" s="10" t="s">
        <v>35</v>
      </c>
      <c r="B1" s="11" t="s">
        <v>37</v>
      </c>
      <c r="C1" s="11" t="s">
        <v>38</v>
      </c>
      <c r="D1" s="11" t="s">
        <v>39</v>
      </c>
      <c r="E1" s="11" t="s">
        <v>40</v>
      </c>
    </row>
    <row r="2" spans="1:5">
      <c r="A2" s="12">
        <v>46187</v>
      </c>
      <c r="B2" s="13" t="s">
        <v>3</v>
      </c>
      <c r="C2" s="13">
        <v>14000</v>
      </c>
      <c r="D2" s="13">
        <v>14120</v>
      </c>
      <c r="E2" s="13">
        <v>55</v>
      </c>
    </row>
    <row r="3" spans="1:5">
      <c r="A3" s="14">
        <v>46187</v>
      </c>
      <c r="B3" s="15" t="s">
        <v>5</v>
      </c>
      <c r="C3" s="15">
        <v>10000</v>
      </c>
      <c r="D3" s="15">
        <v>9850</v>
      </c>
      <c r="E3" s="15">
        <v>78</v>
      </c>
    </row>
    <row r="4" spans="1:5">
      <c r="A4" s="12">
        <v>46187</v>
      </c>
      <c r="B4" s="13" t="s">
        <v>7</v>
      </c>
      <c r="C4" s="13">
        <v>8000</v>
      </c>
      <c r="D4" s="13">
        <v>8010</v>
      </c>
      <c r="E4" s="13">
        <v>92</v>
      </c>
    </row>
    <row r="5" spans="1:5">
      <c r="A5" s="14">
        <v>46188</v>
      </c>
      <c r="B5" s="15" t="s">
        <v>3</v>
      </c>
      <c r="C5" s="15">
        <v>14000</v>
      </c>
      <c r="D5" s="15">
        <v>13850</v>
      </c>
      <c r="E5" s="15">
        <v>70</v>
      </c>
    </row>
    <row r="6" spans="1:5">
      <c r="A6" s="12">
        <v>46188</v>
      </c>
      <c r="B6" s="13" t="s">
        <v>5</v>
      </c>
      <c r="C6" s="13">
        <v>10000</v>
      </c>
      <c r="D6" s="13">
        <v>10120</v>
      </c>
      <c r="E6" s="13">
        <v>82</v>
      </c>
    </row>
    <row r="7" spans="1:5">
      <c r="A7" s="14">
        <v>46188</v>
      </c>
      <c r="B7" s="15" t="s">
        <v>7</v>
      </c>
      <c r="C7" s="15">
        <v>8000</v>
      </c>
      <c r="D7" s="15">
        <v>7920</v>
      </c>
      <c r="E7" s="15">
        <v>88</v>
      </c>
    </row>
    <row r="8" spans="1:5">
      <c r="A8" s="12">
        <v>46189</v>
      </c>
      <c r="B8" s="13" t="s">
        <v>3</v>
      </c>
      <c r="C8" s="13">
        <v>14000</v>
      </c>
      <c r="D8" s="13">
        <v>14300</v>
      </c>
      <c r="E8" s="13">
        <v>48</v>
      </c>
    </row>
    <row r="9" spans="1:5">
      <c r="A9" s="14">
        <v>46189</v>
      </c>
      <c r="B9" s="15" t="s">
        <v>5</v>
      </c>
      <c r="C9" s="15">
        <v>10000</v>
      </c>
      <c r="D9" s="15">
        <v>10050</v>
      </c>
      <c r="E9" s="15">
        <v>74</v>
      </c>
    </row>
    <row r="10" spans="1:5">
      <c r="A10" s="12">
        <v>46189</v>
      </c>
      <c r="B10" s="13" t="s">
        <v>7</v>
      </c>
      <c r="C10" s="13">
        <v>8000</v>
      </c>
      <c r="D10" s="13">
        <v>8180</v>
      </c>
      <c r="E10" s="13">
        <v>63</v>
      </c>
    </row>
    <row r="11" spans="1:5">
      <c r="A11" s="14">
        <v>46190</v>
      </c>
      <c r="B11" s="15" t="s">
        <v>3</v>
      </c>
      <c r="C11" s="15">
        <v>14000</v>
      </c>
      <c r="D11" s="15">
        <v>13920</v>
      </c>
      <c r="E11" s="15">
        <v>61</v>
      </c>
    </row>
    <row r="12" spans="1:5">
      <c r="A12" s="12">
        <v>46190</v>
      </c>
      <c r="B12" s="13" t="s">
        <v>5</v>
      </c>
      <c r="C12" s="13">
        <v>10000</v>
      </c>
      <c r="D12" s="13">
        <v>9780</v>
      </c>
      <c r="E12" s="13">
        <v>73</v>
      </c>
    </row>
    <row r="13" spans="1:5">
      <c r="A13" s="14">
        <v>46190</v>
      </c>
      <c r="B13" s="15" t="s">
        <v>7</v>
      </c>
      <c r="C13" s="15">
        <v>8000</v>
      </c>
      <c r="D13" s="15">
        <v>7850</v>
      </c>
      <c r="E13" s="15">
        <v>72</v>
      </c>
    </row>
    <row r="14" spans="1:5">
      <c r="A14" s="12">
        <v>46191</v>
      </c>
      <c r="B14" s="13" t="s">
        <v>3</v>
      </c>
      <c r="C14" s="13">
        <v>14000</v>
      </c>
      <c r="D14" s="13">
        <v>14550</v>
      </c>
      <c r="E14" s="13">
        <v>58</v>
      </c>
    </row>
    <row r="15" spans="1:5">
      <c r="A15" s="14">
        <v>46191</v>
      </c>
      <c r="B15" s="15" t="s">
        <v>5</v>
      </c>
      <c r="C15" s="15">
        <v>10000</v>
      </c>
      <c r="D15" s="15">
        <v>10200</v>
      </c>
      <c r="E15" s="15">
        <v>77</v>
      </c>
    </row>
    <row r="16" spans="1:5">
      <c r="A16" s="12">
        <v>46191</v>
      </c>
      <c r="B16" s="13" t="s">
        <v>7</v>
      </c>
      <c r="C16" s="13">
        <v>8000</v>
      </c>
      <c r="D16" s="13">
        <v>8260</v>
      </c>
      <c r="E16" s="13">
        <v>66</v>
      </c>
    </row>
    <row r="17" spans="1:5">
      <c r="A17" s="14">
        <v>46192</v>
      </c>
      <c r="B17" s="15" t="s">
        <v>3</v>
      </c>
      <c r="C17" s="15">
        <v>14000</v>
      </c>
      <c r="D17" s="15">
        <v>14220</v>
      </c>
      <c r="E17" s="15">
        <v>40</v>
      </c>
    </row>
    <row r="18" spans="1:5">
      <c r="A18" s="12">
        <v>46192</v>
      </c>
      <c r="B18" s="13" t="s">
        <v>5</v>
      </c>
      <c r="C18" s="13">
        <v>10000</v>
      </c>
      <c r="D18" s="13">
        <v>9950</v>
      </c>
      <c r="E18" s="13">
        <v>55</v>
      </c>
    </row>
    <row r="19" spans="1:5">
      <c r="A19" s="14">
        <v>46192</v>
      </c>
      <c r="B19" s="15" t="s">
        <v>7</v>
      </c>
      <c r="C19" s="15">
        <v>8000</v>
      </c>
      <c r="D19" s="15">
        <v>8120</v>
      </c>
      <c r="E19" s="15">
        <v>59</v>
      </c>
    </row>
    <row r="20" spans="1:5">
      <c r="A20" s="12">
        <v>46193</v>
      </c>
      <c r="B20" s="13" t="s">
        <v>3</v>
      </c>
      <c r="C20" s="13">
        <v>14000</v>
      </c>
      <c r="D20" s="13">
        <v>14850</v>
      </c>
      <c r="E20" s="13">
        <v>52</v>
      </c>
    </row>
    <row r="21" spans="1:5">
      <c r="A21" s="14">
        <v>46193</v>
      </c>
      <c r="B21" s="15" t="s">
        <v>5</v>
      </c>
      <c r="C21" s="15">
        <v>10000</v>
      </c>
      <c r="D21" s="15">
        <v>9650</v>
      </c>
      <c r="E21" s="15">
        <v>87</v>
      </c>
    </row>
    <row r="22" spans="1:5">
      <c r="A22" s="12">
        <v>46193</v>
      </c>
      <c r="B22" s="13" t="s">
        <v>7</v>
      </c>
      <c r="C22" s="13">
        <v>8000</v>
      </c>
      <c r="D22" s="13">
        <v>7320</v>
      </c>
      <c r="E22" s="13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6203-EF24-42E2-8E79-72844D95A9E6}">
  <dimension ref="B4:J25"/>
  <sheetViews>
    <sheetView workbookViewId="0">
      <selection activeCell="B28" sqref="B28"/>
    </sheetView>
  </sheetViews>
  <sheetFormatPr baseColWidth="10" defaultRowHeight="14.4"/>
  <cols>
    <col min="4" max="4" width="16" customWidth="1"/>
    <col min="6" max="6" width="15.88671875" customWidth="1"/>
    <col min="7" max="7" width="34.33203125" customWidth="1"/>
    <col min="8" max="8" width="17.44140625" customWidth="1"/>
    <col min="9" max="9" width="23" customWidth="1"/>
    <col min="10" max="10" width="27.77734375" customWidth="1"/>
  </cols>
  <sheetData>
    <row r="4" spans="2:10" ht="28.8">
      <c r="B4" s="1" t="s">
        <v>35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48</v>
      </c>
      <c r="I4" s="1" t="s">
        <v>49</v>
      </c>
      <c r="J4" s="1" t="s">
        <v>50</v>
      </c>
    </row>
    <row r="5" spans="2:10">
      <c r="B5" s="6">
        <v>46187</v>
      </c>
      <c r="C5" s="2" t="s">
        <v>3</v>
      </c>
      <c r="D5" s="2">
        <v>14000</v>
      </c>
      <c r="E5" s="2">
        <v>14120</v>
      </c>
      <c r="F5" s="2">
        <v>55</v>
      </c>
      <c r="G5" s="2" t="s">
        <v>42</v>
      </c>
      <c r="H5" s="2">
        <f>T_HISTORIQUE[[#This Row],[REALISE]]-T_HISTORIQUE[[#This Row],[OBJECTIF_JOUR]]</f>
        <v>120</v>
      </c>
      <c r="I5" s="16">
        <f>IFERROR(T_HISTORIQUE[[#This Row],[REALISE]]/T_HISTORIQUE[[#This Row],[OBJECTIF_JOUR]],0)</f>
        <v>1.0085714285714287</v>
      </c>
      <c r="J5" s="16">
        <f>IFERROR(T_HISTORIQUE[[#This Row],[DECLASSES]]/T_HISTORIQUE[[#This Row],[REALISE]],0)</f>
        <v>3.8951841359773369E-3</v>
      </c>
    </row>
    <row r="6" spans="2:10">
      <c r="B6" s="6">
        <v>46187</v>
      </c>
      <c r="C6" s="2" t="s">
        <v>5</v>
      </c>
      <c r="D6" s="2">
        <v>10000</v>
      </c>
      <c r="E6" s="2">
        <v>9850</v>
      </c>
      <c r="F6" s="2">
        <v>78</v>
      </c>
      <c r="G6" s="2" t="s">
        <v>42</v>
      </c>
      <c r="H6" s="2">
        <f>T_HISTORIQUE[[#This Row],[REALISE]]-T_HISTORIQUE[[#This Row],[OBJECTIF_JOUR]]</f>
        <v>-150</v>
      </c>
      <c r="I6" s="16">
        <f>IFERROR(T_HISTORIQUE[[#This Row],[REALISE]]/T_HISTORIQUE[[#This Row],[OBJECTIF_JOUR]],0)</f>
        <v>0.98499999999999999</v>
      </c>
      <c r="J6" s="16">
        <f>IFERROR(T_HISTORIQUE[[#This Row],[DECLASSES]]/T_HISTORIQUE[[#This Row],[REALISE]],0)</f>
        <v>7.9187817258883249E-3</v>
      </c>
    </row>
    <row r="7" spans="2:10">
      <c r="B7" s="6">
        <v>46187</v>
      </c>
      <c r="C7" s="2" t="s">
        <v>7</v>
      </c>
      <c r="D7" s="2">
        <v>8000</v>
      </c>
      <c r="E7" s="2">
        <v>8010</v>
      </c>
      <c r="F7" s="2">
        <v>92</v>
      </c>
      <c r="G7" s="2" t="s">
        <v>42</v>
      </c>
      <c r="H7" s="2">
        <f>T_HISTORIQUE[[#This Row],[REALISE]]-T_HISTORIQUE[[#This Row],[OBJECTIF_JOUR]]</f>
        <v>10</v>
      </c>
      <c r="I7" s="16">
        <f>IFERROR(T_HISTORIQUE[[#This Row],[REALISE]]/T_HISTORIQUE[[#This Row],[OBJECTIF_JOUR]],0)</f>
        <v>1.00125</v>
      </c>
      <c r="J7" s="16">
        <f>IFERROR(T_HISTORIQUE[[#This Row],[DECLASSES]]/T_HISTORIQUE[[#This Row],[REALISE]],0)</f>
        <v>1.1485642946317104E-2</v>
      </c>
    </row>
    <row r="8" spans="2:10">
      <c r="B8" s="6">
        <v>46188</v>
      </c>
      <c r="C8" s="2" t="s">
        <v>3</v>
      </c>
      <c r="D8" s="2">
        <v>14000</v>
      </c>
      <c r="E8" s="2">
        <v>13850</v>
      </c>
      <c r="F8" s="2">
        <v>70</v>
      </c>
      <c r="G8" s="2" t="s">
        <v>43</v>
      </c>
      <c r="H8" s="2">
        <f>T_HISTORIQUE[[#This Row],[REALISE]]-T_HISTORIQUE[[#This Row],[OBJECTIF_JOUR]]</f>
        <v>-150</v>
      </c>
      <c r="I8" s="16">
        <f>IFERROR(T_HISTORIQUE[[#This Row],[REALISE]]/T_HISTORIQUE[[#This Row],[OBJECTIF_JOUR]],0)</f>
        <v>0.98928571428571432</v>
      </c>
      <c r="J8" s="16">
        <f>IFERROR(T_HISTORIQUE[[#This Row],[DECLASSES]]/T_HISTORIQUE[[#This Row],[REALISE]],0)</f>
        <v>5.0541516245487363E-3</v>
      </c>
    </row>
    <row r="9" spans="2:10">
      <c r="B9" s="6">
        <v>46188</v>
      </c>
      <c r="C9" s="2" t="s">
        <v>5</v>
      </c>
      <c r="D9" s="2">
        <v>10000</v>
      </c>
      <c r="E9" s="2">
        <v>10120</v>
      </c>
      <c r="F9" s="2">
        <v>82</v>
      </c>
      <c r="G9" s="2" t="s">
        <v>42</v>
      </c>
      <c r="H9" s="2">
        <f>T_HISTORIQUE[[#This Row],[REALISE]]-T_HISTORIQUE[[#This Row],[OBJECTIF_JOUR]]</f>
        <v>120</v>
      </c>
      <c r="I9" s="16">
        <f>IFERROR(T_HISTORIQUE[[#This Row],[REALISE]]/T_HISTORIQUE[[#This Row],[OBJECTIF_JOUR]],0)</f>
        <v>1.012</v>
      </c>
      <c r="J9" s="16">
        <f>IFERROR(T_HISTORIQUE[[#This Row],[DECLASSES]]/T_HISTORIQUE[[#This Row],[REALISE]],0)</f>
        <v>8.1027667984189724E-3</v>
      </c>
    </row>
    <row r="10" spans="2:10">
      <c r="B10" s="6">
        <v>46188</v>
      </c>
      <c r="C10" s="2" t="s">
        <v>7</v>
      </c>
      <c r="D10" s="2">
        <v>8000</v>
      </c>
      <c r="E10" s="2">
        <v>7920</v>
      </c>
      <c r="F10" s="2">
        <v>88</v>
      </c>
      <c r="G10" s="2" t="s">
        <v>44</v>
      </c>
      <c r="H10" s="2">
        <f>T_HISTORIQUE[[#This Row],[REALISE]]-T_HISTORIQUE[[#This Row],[OBJECTIF_JOUR]]</f>
        <v>-80</v>
      </c>
      <c r="I10" s="16">
        <f>IFERROR(T_HISTORIQUE[[#This Row],[REALISE]]/T_HISTORIQUE[[#This Row],[OBJECTIF_JOUR]],0)</f>
        <v>0.99</v>
      </c>
      <c r="J10" s="16">
        <f>IFERROR(T_HISTORIQUE[[#This Row],[DECLASSES]]/T_HISTORIQUE[[#This Row],[REALISE]],0)</f>
        <v>1.1111111111111112E-2</v>
      </c>
    </row>
    <row r="11" spans="2:10">
      <c r="B11" s="6">
        <v>46189</v>
      </c>
      <c r="C11" s="2" t="s">
        <v>3</v>
      </c>
      <c r="D11" s="2">
        <v>14000</v>
      </c>
      <c r="E11" s="2">
        <v>14300</v>
      </c>
      <c r="F11" s="2">
        <v>48</v>
      </c>
      <c r="G11" s="2" t="s">
        <v>42</v>
      </c>
      <c r="H11" s="2">
        <f>T_HISTORIQUE[[#This Row],[REALISE]]-T_HISTORIQUE[[#This Row],[OBJECTIF_JOUR]]</f>
        <v>300</v>
      </c>
      <c r="I11" s="16">
        <f>IFERROR(T_HISTORIQUE[[#This Row],[REALISE]]/T_HISTORIQUE[[#This Row],[OBJECTIF_JOUR]],0)</f>
        <v>1.0214285714285714</v>
      </c>
      <c r="J11" s="16">
        <f>IFERROR(T_HISTORIQUE[[#This Row],[DECLASSES]]/T_HISTORIQUE[[#This Row],[REALISE]],0)</f>
        <v>3.3566433566433566E-3</v>
      </c>
    </row>
    <row r="12" spans="2:10">
      <c r="B12" s="6">
        <v>46189</v>
      </c>
      <c r="C12" s="2" t="s">
        <v>5</v>
      </c>
      <c r="D12" s="2">
        <v>10000</v>
      </c>
      <c r="E12" s="2">
        <v>10050</v>
      </c>
      <c r="F12" s="2">
        <v>74</v>
      </c>
      <c r="G12" s="2" t="s">
        <v>42</v>
      </c>
      <c r="H12" s="2">
        <f>T_HISTORIQUE[[#This Row],[REALISE]]-T_HISTORIQUE[[#This Row],[OBJECTIF_JOUR]]</f>
        <v>50</v>
      </c>
      <c r="I12" s="16">
        <f>IFERROR(T_HISTORIQUE[[#This Row],[REALISE]]/T_HISTORIQUE[[#This Row],[OBJECTIF_JOUR]],0)</f>
        <v>1.0049999999999999</v>
      </c>
      <c r="J12" s="16">
        <f>IFERROR(T_HISTORIQUE[[#This Row],[DECLASSES]]/T_HISTORIQUE[[#This Row],[REALISE]],0)</f>
        <v>7.36318407960199E-3</v>
      </c>
    </row>
    <row r="13" spans="2:10">
      <c r="B13" s="6">
        <v>46189</v>
      </c>
      <c r="C13" s="2" t="s">
        <v>7</v>
      </c>
      <c r="D13" s="2">
        <v>8000</v>
      </c>
      <c r="E13" s="2">
        <v>8180</v>
      </c>
      <c r="F13" s="2">
        <v>63</v>
      </c>
      <c r="G13" s="2" t="s">
        <v>42</v>
      </c>
      <c r="H13" s="2">
        <f>T_HISTORIQUE[[#This Row],[REALISE]]-T_HISTORIQUE[[#This Row],[OBJECTIF_JOUR]]</f>
        <v>180</v>
      </c>
      <c r="I13" s="16">
        <f>IFERROR(T_HISTORIQUE[[#This Row],[REALISE]]/T_HISTORIQUE[[#This Row],[OBJECTIF_JOUR]],0)</f>
        <v>1.0225</v>
      </c>
      <c r="J13" s="16">
        <f>IFERROR(T_HISTORIQUE[[#This Row],[DECLASSES]]/T_HISTORIQUE[[#This Row],[REALISE]],0)</f>
        <v>7.7017114914425429E-3</v>
      </c>
    </row>
    <row r="14" spans="2:10">
      <c r="B14" s="6">
        <v>46190</v>
      </c>
      <c r="C14" s="2" t="s">
        <v>3</v>
      </c>
      <c r="D14" s="2">
        <v>14000</v>
      </c>
      <c r="E14" s="2">
        <v>13920</v>
      </c>
      <c r="F14" s="2">
        <v>61</v>
      </c>
      <c r="G14" s="2" t="s">
        <v>42</v>
      </c>
      <c r="H14" s="2">
        <f>T_HISTORIQUE[[#This Row],[REALISE]]-T_HISTORIQUE[[#This Row],[OBJECTIF_JOUR]]</f>
        <v>-80</v>
      </c>
      <c r="I14" s="16">
        <f>IFERROR(T_HISTORIQUE[[#This Row],[REALISE]]/T_HISTORIQUE[[#This Row],[OBJECTIF_JOUR]],0)</f>
        <v>0.99428571428571433</v>
      </c>
      <c r="J14" s="16">
        <f>IFERROR(T_HISTORIQUE[[#This Row],[DECLASSES]]/T_HISTORIQUE[[#This Row],[REALISE]],0)</f>
        <v>4.3821839080459774E-3</v>
      </c>
    </row>
    <row r="15" spans="2:10">
      <c r="B15" s="6">
        <v>46190</v>
      </c>
      <c r="C15" s="2" t="s">
        <v>5</v>
      </c>
      <c r="D15" s="2">
        <v>10000</v>
      </c>
      <c r="E15" s="2">
        <v>9780</v>
      </c>
      <c r="F15" s="2">
        <v>73</v>
      </c>
      <c r="G15" s="2" t="s">
        <v>42</v>
      </c>
      <c r="H15" s="2">
        <f>T_HISTORIQUE[[#This Row],[REALISE]]-T_HISTORIQUE[[#This Row],[OBJECTIF_JOUR]]</f>
        <v>-220</v>
      </c>
      <c r="I15" s="16">
        <f>IFERROR(T_HISTORIQUE[[#This Row],[REALISE]]/T_HISTORIQUE[[#This Row],[OBJECTIF_JOUR]],0)</f>
        <v>0.97799999999999998</v>
      </c>
      <c r="J15" s="16">
        <f>IFERROR(T_HISTORIQUE[[#This Row],[DECLASSES]]/T_HISTORIQUE[[#This Row],[REALISE]],0)</f>
        <v>7.4642126789366053E-3</v>
      </c>
    </row>
    <row r="16" spans="2:10">
      <c r="B16" s="6">
        <v>46190</v>
      </c>
      <c r="C16" s="2" t="s">
        <v>7</v>
      </c>
      <c r="D16" s="2">
        <v>8000</v>
      </c>
      <c r="E16" s="2">
        <v>7850</v>
      </c>
      <c r="F16" s="2">
        <v>72</v>
      </c>
      <c r="G16" s="2" t="s">
        <v>45</v>
      </c>
      <c r="H16" s="2">
        <f>T_HISTORIQUE[[#This Row],[REALISE]]-T_HISTORIQUE[[#This Row],[OBJECTIF_JOUR]]</f>
        <v>-150</v>
      </c>
      <c r="I16" s="16">
        <f>IFERROR(T_HISTORIQUE[[#This Row],[REALISE]]/T_HISTORIQUE[[#This Row],[OBJECTIF_JOUR]],0)</f>
        <v>0.98124999999999996</v>
      </c>
      <c r="J16" s="16">
        <f>IFERROR(T_HISTORIQUE[[#This Row],[DECLASSES]]/T_HISTORIQUE[[#This Row],[REALISE]],0)</f>
        <v>9.171974522292993E-3</v>
      </c>
    </row>
    <row r="17" spans="2:10">
      <c r="B17" s="6">
        <v>46191</v>
      </c>
      <c r="C17" s="2" t="s">
        <v>3</v>
      </c>
      <c r="D17" s="2">
        <v>14000</v>
      </c>
      <c r="E17" s="2">
        <v>14550</v>
      </c>
      <c r="F17" s="2">
        <v>58</v>
      </c>
      <c r="G17" s="2" t="s">
        <v>42</v>
      </c>
      <c r="H17" s="2">
        <f>T_HISTORIQUE[[#This Row],[REALISE]]-T_HISTORIQUE[[#This Row],[OBJECTIF_JOUR]]</f>
        <v>550</v>
      </c>
      <c r="I17" s="16">
        <f>IFERROR(T_HISTORIQUE[[#This Row],[REALISE]]/T_HISTORIQUE[[#This Row],[OBJECTIF_JOUR]],0)</f>
        <v>1.0392857142857144</v>
      </c>
      <c r="J17" s="16">
        <f>IFERROR(T_HISTORIQUE[[#This Row],[DECLASSES]]/T_HISTORIQUE[[#This Row],[REALISE]],0)</f>
        <v>3.9862542955326459E-3</v>
      </c>
    </row>
    <row r="18" spans="2:10">
      <c r="B18" s="6">
        <v>46191</v>
      </c>
      <c r="C18" s="2" t="s">
        <v>5</v>
      </c>
      <c r="D18" s="2">
        <v>10000</v>
      </c>
      <c r="E18" s="2">
        <v>10200</v>
      </c>
      <c r="F18" s="2">
        <v>77</v>
      </c>
      <c r="G18" s="2" t="s">
        <v>42</v>
      </c>
      <c r="H18" s="2">
        <f>T_HISTORIQUE[[#This Row],[REALISE]]-T_HISTORIQUE[[#This Row],[OBJECTIF_JOUR]]</f>
        <v>200</v>
      </c>
      <c r="I18" s="16">
        <f>IFERROR(T_HISTORIQUE[[#This Row],[REALISE]]/T_HISTORIQUE[[#This Row],[OBJECTIF_JOUR]],0)</f>
        <v>1.02</v>
      </c>
      <c r="J18" s="16">
        <f>IFERROR(T_HISTORIQUE[[#This Row],[DECLASSES]]/T_HISTORIQUE[[#This Row],[REALISE]],0)</f>
        <v>7.5490196078431375E-3</v>
      </c>
    </row>
    <row r="19" spans="2:10">
      <c r="B19" s="6">
        <v>46191</v>
      </c>
      <c r="C19" s="2" t="s">
        <v>7</v>
      </c>
      <c r="D19" s="2">
        <v>8000</v>
      </c>
      <c r="E19" s="2">
        <v>8260</v>
      </c>
      <c r="F19" s="2">
        <v>66</v>
      </c>
      <c r="G19" s="2" t="s">
        <v>42</v>
      </c>
      <c r="H19" s="2">
        <f>T_HISTORIQUE[[#This Row],[REALISE]]-T_HISTORIQUE[[#This Row],[OBJECTIF_JOUR]]</f>
        <v>260</v>
      </c>
      <c r="I19" s="16">
        <f>IFERROR(T_HISTORIQUE[[#This Row],[REALISE]]/T_HISTORIQUE[[#This Row],[OBJECTIF_JOUR]],0)</f>
        <v>1.0325</v>
      </c>
      <c r="J19" s="16">
        <f>IFERROR(T_HISTORIQUE[[#This Row],[DECLASSES]]/T_HISTORIQUE[[#This Row],[REALISE]],0)</f>
        <v>7.9903147699757864E-3</v>
      </c>
    </row>
    <row r="20" spans="2:10">
      <c r="B20" s="6">
        <v>46192</v>
      </c>
      <c r="C20" s="2" t="s">
        <v>3</v>
      </c>
      <c r="D20" s="2">
        <v>14000</v>
      </c>
      <c r="E20" s="2">
        <v>14220</v>
      </c>
      <c r="F20" s="2">
        <v>40</v>
      </c>
      <c r="G20" s="2" t="s">
        <v>42</v>
      </c>
      <c r="H20" s="2">
        <f>T_HISTORIQUE[[#This Row],[REALISE]]-T_HISTORIQUE[[#This Row],[OBJECTIF_JOUR]]</f>
        <v>220</v>
      </c>
      <c r="I20" s="16">
        <f>IFERROR(T_HISTORIQUE[[#This Row],[REALISE]]/T_HISTORIQUE[[#This Row],[OBJECTIF_JOUR]],0)</f>
        <v>1.0157142857142858</v>
      </c>
      <c r="J20" s="16">
        <f>IFERROR(T_HISTORIQUE[[#This Row],[DECLASSES]]/T_HISTORIQUE[[#This Row],[REALISE]],0)</f>
        <v>2.8129395218002813E-3</v>
      </c>
    </row>
    <row r="21" spans="2:10">
      <c r="B21" s="6">
        <v>46192</v>
      </c>
      <c r="C21" s="2" t="s">
        <v>5</v>
      </c>
      <c r="D21" s="2">
        <v>10000</v>
      </c>
      <c r="E21" s="2">
        <v>9950</v>
      </c>
      <c r="F21" s="2">
        <v>55</v>
      </c>
      <c r="G21" s="2" t="s">
        <v>42</v>
      </c>
      <c r="H21" s="2">
        <f>T_HISTORIQUE[[#This Row],[REALISE]]-T_HISTORIQUE[[#This Row],[OBJECTIF_JOUR]]</f>
        <v>-50</v>
      </c>
      <c r="I21" s="16">
        <f>IFERROR(T_HISTORIQUE[[#This Row],[REALISE]]/T_HISTORIQUE[[#This Row],[OBJECTIF_JOUR]],0)</f>
        <v>0.995</v>
      </c>
      <c r="J21" s="16">
        <f>IFERROR(T_HISTORIQUE[[#This Row],[DECLASSES]]/T_HISTORIQUE[[#This Row],[REALISE]],0)</f>
        <v>5.5276381909547742E-3</v>
      </c>
    </row>
    <row r="22" spans="2:10">
      <c r="B22" s="6">
        <v>46192</v>
      </c>
      <c r="C22" s="2" t="s">
        <v>7</v>
      </c>
      <c r="D22" s="2">
        <v>8000</v>
      </c>
      <c r="E22" s="2">
        <v>8120</v>
      </c>
      <c r="F22" s="2">
        <v>59</v>
      </c>
      <c r="G22" s="2" t="s">
        <v>42</v>
      </c>
      <c r="H22" s="2">
        <f>T_HISTORIQUE[[#This Row],[REALISE]]-T_HISTORIQUE[[#This Row],[OBJECTIF_JOUR]]</f>
        <v>120</v>
      </c>
      <c r="I22" s="16">
        <f>IFERROR(T_HISTORIQUE[[#This Row],[REALISE]]/T_HISTORIQUE[[#This Row],[OBJECTIF_JOUR]],0)</f>
        <v>1.0149999999999999</v>
      </c>
      <c r="J22" s="16">
        <f>IFERROR(T_HISTORIQUE[[#This Row],[DECLASSES]]/T_HISTORIQUE[[#This Row],[REALISE]],0)</f>
        <v>7.2660098522167489E-3</v>
      </c>
    </row>
    <row r="23" spans="2:10">
      <c r="B23" s="6">
        <v>46193</v>
      </c>
      <c r="C23" s="2" t="s">
        <v>3</v>
      </c>
      <c r="D23" s="2">
        <v>14000</v>
      </c>
      <c r="E23" s="2">
        <v>14850</v>
      </c>
      <c r="F23" s="2">
        <v>52</v>
      </c>
      <c r="G23" s="2" t="s">
        <v>42</v>
      </c>
      <c r="H23" s="2">
        <f>T_HISTORIQUE[[#This Row],[REALISE]]-T_HISTORIQUE[[#This Row],[OBJECTIF_JOUR]]</f>
        <v>850</v>
      </c>
      <c r="I23" s="16">
        <f>IFERROR(T_HISTORIQUE[[#This Row],[REALISE]]/T_HISTORIQUE[[#This Row],[OBJECTIF_JOUR]],0)</f>
        <v>1.0607142857142857</v>
      </c>
      <c r="J23" s="16">
        <f>IFERROR(T_HISTORIQUE[[#This Row],[DECLASSES]]/T_HISTORIQUE[[#This Row],[REALISE]],0)</f>
        <v>3.5016835016835018E-3</v>
      </c>
    </row>
    <row r="24" spans="2:10">
      <c r="B24" s="6">
        <v>46193</v>
      </c>
      <c r="C24" s="2" t="s">
        <v>5</v>
      </c>
      <c r="D24" s="2">
        <v>10000</v>
      </c>
      <c r="E24" s="2">
        <v>9650</v>
      </c>
      <c r="F24" s="2">
        <v>87</v>
      </c>
      <c r="G24" s="2" t="s">
        <v>46</v>
      </c>
      <c r="H24" s="2">
        <f>T_HISTORIQUE[[#This Row],[REALISE]]-T_HISTORIQUE[[#This Row],[OBJECTIF_JOUR]]</f>
        <v>-350</v>
      </c>
      <c r="I24" s="16">
        <f>IFERROR(T_HISTORIQUE[[#This Row],[REALISE]]/T_HISTORIQUE[[#This Row],[OBJECTIF_JOUR]],0)</f>
        <v>0.96499999999999997</v>
      </c>
      <c r="J24" s="16">
        <f>IFERROR(T_HISTORIQUE[[#This Row],[DECLASSES]]/T_HISTORIQUE[[#This Row],[REALISE]],0)</f>
        <v>9.0155440414507772E-3</v>
      </c>
    </row>
    <row r="25" spans="2:10">
      <c r="B25" s="6">
        <v>46193</v>
      </c>
      <c r="C25" s="2" t="s">
        <v>7</v>
      </c>
      <c r="D25" s="2">
        <v>8000</v>
      </c>
      <c r="E25" s="2">
        <v>7320</v>
      </c>
      <c r="F25" s="2">
        <v>105</v>
      </c>
      <c r="G25" s="2" t="s">
        <v>47</v>
      </c>
      <c r="H25" s="2">
        <f>T_HISTORIQUE[[#This Row],[REALISE]]-T_HISTORIQUE[[#This Row],[OBJECTIF_JOUR]]</f>
        <v>-680</v>
      </c>
      <c r="I25" s="16">
        <f>IFERROR(T_HISTORIQUE[[#This Row],[REALISE]]/T_HISTORIQUE[[#This Row],[OBJECTIF_JOUR]],0)</f>
        <v>0.91500000000000004</v>
      </c>
      <c r="J25" s="16">
        <f>IFERROR(T_HISTORIQUE[[#This Row],[DECLASSES]]/T_HISTORIQUE[[#This Row],[REALISE]],0)</f>
        <v>1.4344262295081968E-2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140A-5AC4-41E2-8825-7346C4C3D563}">
  <dimension ref="A1"/>
  <sheetViews>
    <sheetView workbookViewId="0">
      <selection activeCell="G34" sqref="G34"/>
    </sheetView>
  </sheetViews>
  <sheetFormatPr baseColWidth="10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0EAC-2B40-4BD6-ADB4-833022DC9A29}">
  <dimension ref="A1"/>
  <sheetViews>
    <sheetView workbookViewId="0">
      <selection activeCell="I24" sqref="I24"/>
    </sheetView>
  </sheetViews>
  <sheetFormatPr baseColWidth="10"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0F53-0DA1-46F7-8ECF-EC2469E7E0FA}">
  <sheetPr>
    <pageSetUpPr fitToPage="1"/>
  </sheetPr>
  <dimension ref="A1:AI38"/>
  <sheetViews>
    <sheetView showGridLines="0" tabSelected="1" zoomScale="30" zoomScaleNormal="30" workbookViewId="0">
      <selection activeCell="Z30" sqref="Z30"/>
    </sheetView>
  </sheetViews>
  <sheetFormatPr baseColWidth="10" defaultRowHeight="16.8"/>
  <cols>
    <col min="1" max="1" width="3" style="7" customWidth="1"/>
    <col min="2" max="3" width="11.5546875" style="7"/>
    <col min="4" max="4" width="21.21875" style="7" customWidth="1"/>
    <col min="5" max="5" width="11.5546875" style="7"/>
    <col min="6" max="6" width="18.33203125" style="7" bestFit="1" customWidth="1"/>
    <col min="7" max="7" width="34.44140625" style="77" customWidth="1"/>
    <col min="8" max="8" width="11.5546875" style="7"/>
    <col min="9" max="9" width="4.6640625" style="7" customWidth="1"/>
    <col min="10" max="11" width="11.5546875" style="7"/>
    <col min="12" max="12" width="16.77734375" style="7" customWidth="1"/>
    <col min="13" max="13" width="11.5546875" style="7"/>
    <col min="14" max="14" width="16.5546875" style="7" bestFit="1" customWidth="1"/>
    <col min="15" max="15" width="30.33203125" style="77" customWidth="1"/>
    <col min="16" max="16" width="11.5546875" style="7"/>
    <col min="17" max="17" width="4.44140625" style="7" customWidth="1"/>
    <col min="18" max="19" width="11.5546875" style="7"/>
    <col min="20" max="20" width="21.5546875" style="7" customWidth="1"/>
    <col min="21" max="21" width="11.5546875" style="7"/>
    <col min="22" max="22" width="15.88671875" style="7" customWidth="1"/>
    <col min="23" max="23" width="23.88671875" style="7" bestFit="1" customWidth="1"/>
    <col min="24" max="24" width="17.88671875" style="7" customWidth="1"/>
    <col min="25" max="25" width="63.33203125" style="7" customWidth="1"/>
    <col min="26" max="27" width="11.5546875" style="7"/>
    <col min="28" max="28" width="21.77734375" style="7" customWidth="1"/>
    <col min="29" max="29" width="20.77734375" style="7" customWidth="1"/>
    <col min="30" max="30" width="30.77734375" style="7" bestFit="1" customWidth="1"/>
    <col min="31" max="31" width="14.33203125" style="7" bestFit="1" customWidth="1"/>
    <col min="32" max="32" width="12.44140625" style="7" customWidth="1"/>
    <col min="33" max="16384" width="11.5546875" style="7"/>
  </cols>
  <sheetData>
    <row r="1" spans="1:35">
      <c r="A1" s="8"/>
      <c r="B1" s="8"/>
      <c r="C1" s="8"/>
      <c r="D1" s="8"/>
      <c r="E1" s="8"/>
      <c r="F1" s="8"/>
      <c r="G1" s="9"/>
      <c r="H1" s="8"/>
      <c r="I1" s="8"/>
      <c r="J1" s="8"/>
      <c r="K1" s="8"/>
      <c r="L1" s="8"/>
      <c r="M1" s="8"/>
      <c r="N1" s="8"/>
      <c r="O1" s="9"/>
      <c r="P1" s="8"/>
      <c r="Q1" s="8"/>
      <c r="R1" s="8"/>
      <c r="S1" s="8"/>
      <c r="T1" s="8"/>
      <c r="U1" s="8"/>
      <c r="V1" s="8"/>
      <c r="W1" s="8"/>
      <c r="X1" s="8"/>
      <c r="AA1" s="7" t="s">
        <v>51</v>
      </c>
      <c r="AB1" s="7" t="s">
        <v>23</v>
      </c>
      <c r="AC1" s="7" t="s">
        <v>24</v>
      </c>
      <c r="AD1" s="7" t="s">
        <v>25</v>
      </c>
      <c r="AE1" s="7" t="s">
        <v>53</v>
      </c>
      <c r="AF1" s="7" t="s">
        <v>54</v>
      </c>
      <c r="AG1" s="7" t="s">
        <v>57</v>
      </c>
      <c r="AH1" s="7" t="s">
        <v>58</v>
      </c>
      <c r="AI1" s="7" t="s">
        <v>59</v>
      </c>
    </row>
    <row r="2" spans="1:35" ht="42.6" customHeight="1">
      <c r="A2" s="8"/>
      <c r="B2" s="46"/>
      <c r="C2" s="46"/>
      <c r="D2" s="154"/>
      <c r="E2" s="154"/>
      <c r="F2" s="154"/>
      <c r="G2" s="155"/>
      <c r="H2" s="154"/>
      <c r="I2" s="154"/>
      <c r="J2" s="154"/>
      <c r="K2" s="154"/>
      <c r="L2" s="154"/>
      <c r="M2" s="154"/>
      <c r="N2" s="154"/>
      <c r="O2" s="155"/>
      <c r="P2" s="154"/>
      <c r="Q2" s="154"/>
      <c r="R2" s="154"/>
      <c r="S2" s="156" t="s">
        <v>35</v>
      </c>
      <c r="T2" s="157"/>
      <c r="U2" s="157"/>
      <c r="V2" s="157"/>
      <c r="W2" s="78"/>
      <c r="X2" s="78"/>
      <c r="Y2" s="25"/>
      <c r="Z2" s="7" t="s">
        <v>52</v>
      </c>
      <c r="AA2" s="17">
        <f>MAX(T_HISTORIQUE[DATE])</f>
        <v>46193</v>
      </c>
      <c r="AB2" s="7">
        <f>SUMIFS(
T_HISTORIQUE[OBJECTIF_JOUR],
T_HISTORIQUE[DATE],$AA$2,
T_HISTORIQUE[FORMAT],"200 g"
)</f>
        <v>14000</v>
      </c>
      <c r="AC2" s="7">
        <f>SUMIFS(
T_HISTORIQUE[REALISE],
T_HISTORIQUE[DATE],$AA$2,
T_HISTORIQUE[FORMAT],"200 g"
)</f>
        <v>14850</v>
      </c>
      <c r="AD2" s="7">
        <f>SUMIFS(
T_HISTORIQUE[DECLASSES],
T_HISTORIQUE[DATE],$AA$2,
T_HISTORIQUE[FORMAT],"200 g"
)</f>
        <v>52</v>
      </c>
      <c r="AE2" s="7">
        <f>AC2-AB2</f>
        <v>850</v>
      </c>
      <c r="AF2" s="19">
        <f>IFERROR(AC2/AB2,0)</f>
        <v>1.0607142857142857</v>
      </c>
      <c r="AG2" s="7" t="str">
        <f>IF(AF2&gt;=1,"AVANCE",
IF(AF2&gt;=0.95,"VIGILANCE",
"RETARD"))</f>
        <v>AVANCE</v>
      </c>
      <c r="AH2" s="7" t="str">
        <f>IF(AF2&gt;=1,"VERT",
IF(AF2&gt;=0.95,"ORANGE",
"ROUGE"))</f>
        <v>VERT</v>
      </c>
      <c r="AI2" s="7" t="str">
        <f>IF(AF2&gt;=1,"⬆",
IF(AF2&gt;=0.95,"⚠",
"⬇"))</f>
        <v>⬆</v>
      </c>
    </row>
    <row r="3" spans="1:35" ht="69.599999999999994" customHeight="1">
      <c r="A3" s="8"/>
      <c r="B3" s="46"/>
      <c r="C3" s="8"/>
      <c r="D3" s="158" t="s">
        <v>34</v>
      </c>
      <c r="E3" s="155"/>
      <c r="F3" s="154"/>
      <c r="G3" s="159"/>
      <c r="H3" s="160"/>
      <c r="I3" s="154"/>
      <c r="J3" s="154"/>
      <c r="K3" s="154"/>
      <c r="L3" s="154"/>
      <c r="M3" s="154"/>
      <c r="N3" s="154"/>
      <c r="O3" s="155"/>
      <c r="P3" s="154"/>
      <c r="Q3" s="154"/>
      <c r="R3" s="154"/>
      <c r="S3" s="158" t="str">
        <f>TEXT(AA2,"jj/mm/aaaa")</f>
        <v>20/06/2026</v>
      </c>
      <c r="T3" s="157"/>
      <c r="U3" s="157"/>
      <c r="V3" s="157"/>
      <c r="W3" s="78"/>
      <c r="X3" s="78"/>
      <c r="Y3" s="8"/>
      <c r="Z3" s="7" t="s">
        <v>55</v>
      </c>
      <c r="AB3" s="7">
        <f>SUMIFS(
T_HISTORIQUE[OBJECTIF_JOUR],
T_HISTORIQUE[DATE],$AA$2,
T_HISTORIQUE[FORMAT],"270 g"
)</f>
        <v>10000</v>
      </c>
      <c r="AC3" s="7">
        <f>SUMIFS(
T_HISTORIQUE[REALISE],
T_HISTORIQUE[DATE],$AA$2,
T_HISTORIQUE[FORMAT],"270 g"
)</f>
        <v>9650</v>
      </c>
      <c r="AD3" s="7">
        <f>SUMIFS(
T_HISTORIQUE[DECLASSES],
T_HISTORIQUE[DATE],$AA$2,
T_HISTORIQUE[FORMAT],"270 g"
)</f>
        <v>87</v>
      </c>
      <c r="AE3" s="7">
        <f>AC3-AB3</f>
        <v>-350</v>
      </c>
      <c r="AF3" s="19">
        <f>IFERROR(AC3/AB3,0)</f>
        <v>0.96499999999999997</v>
      </c>
      <c r="AG3" s="7" t="str">
        <f t="shared" ref="AG3:AG4" si="0">IF(AF3&gt;=1,"AVANCE",
IF(AF3&gt;=0.95,"VIGILANCE",
"RETARD"))</f>
        <v>VIGILANCE</v>
      </c>
      <c r="AH3" s="7" t="str">
        <f t="shared" ref="AH3:AH4" si="1">IF(AF3&gt;=1,"VERT",
IF(AF3&gt;=0.95,"ORANGE",
"ROUGE"))</f>
        <v>ORANGE</v>
      </c>
      <c r="AI3" s="7" t="str">
        <f t="shared" ref="AI3:AI4" si="2">IF(AF3&gt;=1,"⬆",
IF(AF3&gt;=0.95,"⚠",
"⬇"))</f>
        <v>⚠</v>
      </c>
    </row>
    <row r="4" spans="1:35" ht="55.8" customHeight="1">
      <c r="A4" s="8"/>
      <c r="B4" s="46"/>
      <c r="C4" s="8"/>
      <c r="D4" s="154" t="s">
        <v>66</v>
      </c>
      <c r="E4" s="155"/>
      <c r="F4" s="154"/>
      <c r="G4" s="159"/>
      <c r="H4" s="160"/>
      <c r="I4" s="154"/>
      <c r="J4" s="154"/>
      <c r="K4" s="154"/>
      <c r="L4" s="154"/>
      <c r="M4" s="154"/>
      <c r="N4" s="154"/>
      <c r="O4" s="155"/>
      <c r="P4" s="154"/>
      <c r="Q4" s="154"/>
      <c r="R4" s="154"/>
      <c r="S4" s="154" t="s">
        <v>74</v>
      </c>
      <c r="T4" s="157"/>
      <c r="U4" s="157"/>
      <c r="V4" s="157"/>
      <c r="W4" s="78"/>
      <c r="X4" s="78"/>
      <c r="Z4" s="7" t="s">
        <v>56</v>
      </c>
      <c r="AB4" s="7">
        <f>SUMIFS(
T_HISTORIQUE[OBJECTIF_JOUR],
T_HISTORIQUE[DATE],$AA$2,
T_HISTORIQUE[FORMAT],"350 g"
)</f>
        <v>8000</v>
      </c>
      <c r="AC4" s="7">
        <f>SUMIFS(
T_HISTORIQUE[REALISE],
T_HISTORIQUE[DATE],$AA$2,
T_HISTORIQUE[FORMAT],"350 g"
)</f>
        <v>7320</v>
      </c>
      <c r="AD4" s="7">
        <f>SUMIFS(
T_HISTORIQUE[DECLASSES],
T_HISTORIQUE[DATE],$AA$2,
T_HISTORIQUE[FORMAT],"350 g"
)</f>
        <v>105</v>
      </c>
      <c r="AE4" s="7">
        <f>AC4-AB4</f>
        <v>-680</v>
      </c>
      <c r="AF4" s="19">
        <f>IFERROR(AC4/AB4,0)</f>
        <v>0.91500000000000004</v>
      </c>
      <c r="AG4" s="7" t="str">
        <f t="shared" si="0"/>
        <v>RETARD</v>
      </c>
      <c r="AH4" s="7" t="str">
        <f t="shared" si="1"/>
        <v>ROUGE</v>
      </c>
      <c r="AI4" s="7" t="str">
        <f t="shared" si="2"/>
        <v>⬇</v>
      </c>
    </row>
    <row r="5" spans="1:35" ht="19.8" customHeight="1">
      <c r="A5" s="8"/>
      <c r="B5" s="46"/>
      <c r="C5" s="46"/>
      <c r="D5" s="154"/>
      <c r="E5" s="154"/>
      <c r="F5" s="154"/>
      <c r="G5" s="155"/>
      <c r="H5" s="154"/>
      <c r="I5" s="154"/>
      <c r="J5" s="154"/>
      <c r="K5" s="154"/>
      <c r="L5" s="154"/>
      <c r="M5" s="154"/>
      <c r="N5" s="154"/>
      <c r="O5" s="155"/>
      <c r="P5" s="154"/>
      <c r="Q5" s="154"/>
      <c r="R5" s="154"/>
      <c r="S5" s="157"/>
      <c r="T5" s="157"/>
      <c r="U5" s="157"/>
      <c r="V5" s="157"/>
      <c r="W5" s="78"/>
      <c r="X5" s="78"/>
      <c r="Y5" s="8"/>
    </row>
    <row r="6" spans="1:35">
      <c r="A6" s="8"/>
      <c r="B6" s="8"/>
      <c r="C6" s="8"/>
      <c r="D6" s="8"/>
      <c r="E6" s="8"/>
      <c r="F6" s="8"/>
      <c r="G6" s="9"/>
      <c r="H6" s="8"/>
      <c r="I6" s="8"/>
      <c r="J6" s="8"/>
      <c r="K6" s="8"/>
      <c r="L6" s="8"/>
      <c r="M6" s="8"/>
      <c r="N6" s="8"/>
      <c r="O6" s="9"/>
      <c r="P6" s="8"/>
      <c r="Q6" s="8"/>
      <c r="R6" s="8"/>
      <c r="S6" s="8"/>
      <c r="T6" s="8"/>
      <c r="U6" s="8"/>
      <c r="V6" s="8"/>
      <c r="W6" s="8"/>
      <c r="X6" s="8"/>
    </row>
    <row r="7" spans="1:35" s="71" customFormat="1" ht="63" customHeight="1">
      <c r="A7" s="67"/>
      <c r="B7" s="93" t="s">
        <v>3</v>
      </c>
      <c r="C7" s="94"/>
      <c r="D7" s="94"/>
      <c r="E7" s="94"/>
      <c r="F7" s="94"/>
      <c r="G7" s="94"/>
      <c r="H7" s="95"/>
      <c r="I7" s="67"/>
      <c r="J7" s="109" t="s">
        <v>5</v>
      </c>
      <c r="K7" s="108"/>
      <c r="L7" s="108"/>
      <c r="M7" s="108"/>
      <c r="N7" s="108"/>
      <c r="O7" s="108"/>
      <c r="P7" s="110"/>
      <c r="Q7" s="67"/>
      <c r="R7" s="68" t="s">
        <v>7</v>
      </c>
      <c r="S7" s="69"/>
      <c r="T7" s="69"/>
      <c r="U7" s="69"/>
      <c r="V7" s="69"/>
      <c r="W7" s="69"/>
      <c r="X7" s="70"/>
      <c r="Y7" s="67"/>
    </row>
    <row r="8" spans="1:35" s="27" customFormat="1" ht="39.6">
      <c r="A8" s="23"/>
      <c r="B8" s="96"/>
      <c r="C8" s="23"/>
      <c r="D8" s="23"/>
      <c r="E8" s="23"/>
      <c r="F8" s="23"/>
      <c r="G8" s="72"/>
      <c r="H8" s="97"/>
      <c r="I8" s="23"/>
      <c r="J8" s="111"/>
      <c r="K8" s="23"/>
      <c r="L8" s="23"/>
      <c r="M8" s="23"/>
      <c r="N8" s="23"/>
      <c r="O8" s="72"/>
      <c r="P8" s="112"/>
      <c r="Q8" s="23"/>
      <c r="R8" s="54"/>
      <c r="S8" s="23"/>
      <c r="T8" s="23"/>
      <c r="U8" s="23"/>
      <c r="V8" s="23"/>
      <c r="W8" s="23"/>
      <c r="X8" s="55"/>
      <c r="Y8" s="23"/>
    </row>
    <row r="9" spans="1:35" ht="34.799999999999997">
      <c r="A9" s="8"/>
      <c r="B9" s="98"/>
      <c r="C9" s="143" t="s">
        <v>60</v>
      </c>
      <c r="D9" s="143"/>
      <c r="E9" s="8"/>
      <c r="F9" s="8"/>
      <c r="G9" s="147" t="s">
        <v>61</v>
      </c>
      <c r="H9" s="99"/>
      <c r="I9" s="8"/>
      <c r="J9" s="113"/>
      <c r="K9" s="142" t="s">
        <v>60</v>
      </c>
      <c r="L9" s="142"/>
      <c r="M9" s="8"/>
      <c r="N9" s="8"/>
      <c r="O9" s="147" t="s">
        <v>61</v>
      </c>
      <c r="P9" s="114"/>
      <c r="Q9" s="8"/>
      <c r="R9" s="56"/>
      <c r="S9" s="141" t="s">
        <v>60</v>
      </c>
      <c r="T9" s="141"/>
      <c r="U9" s="8"/>
      <c r="V9" s="8"/>
      <c r="W9" s="150" t="s">
        <v>61</v>
      </c>
      <c r="X9" s="57"/>
      <c r="Y9" s="8"/>
    </row>
    <row r="10" spans="1:35" s="26" customFormat="1" ht="67.8">
      <c r="A10" s="22"/>
      <c r="B10" s="100"/>
      <c r="C10" s="49" t="str">
        <f>AG2</f>
        <v>AVANCE</v>
      </c>
      <c r="D10" s="22"/>
      <c r="E10" s="22"/>
      <c r="F10" s="22"/>
      <c r="G10" s="148">
        <f>AB2</f>
        <v>14000</v>
      </c>
      <c r="H10" s="101"/>
      <c r="I10" s="22"/>
      <c r="J10" s="115"/>
      <c r="K10" s="48" t="str">
        <f>AG3</f>
        <v>VIGILANCE</v>
      </c>
      <c r="L10" s="22"/>
      <c r="M10" s="22"/>
      <c r="N10" s="22"/>
      <c r="O10" s="148">
        <f>AB3</f>
        <v>10000</v>
      </c>
      <c r="P10" s="116"/>
      <c r="Q10" s="22"/>
      <c r="R10" s="58"/>
      <c r="S10" s="47" t="str">
        <f>AG4</f>
        <v>RETARD</v>
      </c>
      <c r="T10" s="22"/>
      <c r="U10" s="22"/>
      <c r="V10" s="22"/>
      <c r="W10" s="148">
        <f>AB4</f>
        <v>8000</v>
      </c>
      <c r="X10" s="59"/>
      <c r="Y10" s="22"/>
      <c r="AA10" s="26">
        <f>SUMIFS(
T_HISTORIQUE[DECLASSES],
T_HISTORIQUE[DATE],
$AA$2
)</f>
        <v>244</v>
      </c>
      <c r="AB10" s="26">
        <f>SUMIFS(
T_HISTORIQUE[REALISE],
T_HISTORIQUE[DATE],
$AA$2
)</f>
        <v>31820</v>
      </c>
      <c r="AC10" s="26">
        <f>IFERROR(AA10/AB10,0)</f>
        <v>7.668133249528598E-3</v>
      </c>
      <c r="AD10" s="26" t="str">
        <f>IF(AC10&lt;=1.5%,"CONFORME",
IF(AC10&lt;=2%,"SURVEILLANCE",
"ACTION"))</f>
        <v>CONFORME</v>
      </c>
      <c r="AE10" s="26" t="str">
        <f>IF(AC10&lt;=1.5%,"VERT",
IF(AC10&lt;=2%,"ORANGE",
"ROUGE"))</f>
        <v>VERT</v>
      </c>
    </row>
    <row r="11" spans="1:35" s="24" customFormat="1" ht="27">
      <c r="A11" s="20"/>
      <c r="B11" s="102"/>
      <c r="C11" s="20"/>
      <c r="D11" s="20"/>
      <c r="E11" s="20"/>
      <c r="F11" s="20"/>
      <c r="G11" s="149" t="s">
        <v>63</v>
      </c>
      <c r="H11" s="103"/>
      <c r="I11" s="20"/>
      <c r="J11" s="117"/>
      <c r="K11" s="20"/>
      <c r="L11" s="20"/>
      <c r="M11" s="20"/>
      <c r="N11" s="20"/>
      <c r="O11" s="149" t="s">
        <v>63</v>
      </c>
      <c r="P11" s="118"/>
      <c r="Q11" s="20"/>
      <c r="R11" s="60"/>
      <c r="S11" s="20"/>
      <c r="T11" s="20"/>
      <c r="U11" s="20"/>
      <c r="V11" s="20"/>
      <c r="W11" s="149" t="s">
        <v>63</v>
      </c>
      <c r="X11" s="61"/>
      <c r="Y11" s="20"/>
    </row>
    <row r="12" spans="1:35" s="35" customFormat="1" ht="100.8">
      <c r="A12" s="34"/>
      <c r="B12" s="104"/>
      <c r="C12" s="33" t="str">
        <f>AI2</f>
        <v>⬆</v>
      </c>
      <c r="D12" s="33"/>
      <c r="E12" s="34"/>
      <c r="F12" s="34"/>
      <c r="G12" s="73"/>
      <c r="H12" s="105"/>
      <c r="I12" s="34"/>
      <c r="J12" s="119"/>
      <c r="K12" s="45" t="str">
        <f>AI3</f>
        <v>⚠</v>
      </c>
      <c r="L12" s="45"/>
      <c r="M12" s="34"/>
      <c r="N12" s="34"/>
      <c r="O12" s="73"/>
      <c r="P12" s="120"/>
      <c r="Q12" s="34"/>
      <c r="R12" s="62"/>
      <c r="S12" s="36" t="str">
        <f>AI4</f>
        <v>⬇</v>
      </c>
      <c r="T12" s="36"/>
      <c r="U12" s="34"/>
      <c r="V12" s="34"/>
      <c r="W12" s="34"/>
      <c r="X12" s="63"/>
    </row>
    <row r="13" spans="1:35" ht="39.6">
      <c r="A13" s="8"/>
      <c r="B13" s="98"/>
      <c r="C13" s="8"/>
      <c r="D13" s="8"/>
      <c r="E13" s="8"/>
      <c r="F13" s="8"/>
      <c r="G13" s="144" t="s">
        <v>39</v>
      </c>
      <c r="H13" s="99"/>
      <c r="I13" s="8"/>
      <c r="J13" s="113"/>
      <c r="K13" s="8"/>
      <c r="L13" s="8"/>
      <c r="M13" s="8"/>
      <c r="N13" s="8"/>
      <c r="O13" s="145" t="s">
        <v>39</v>
      </c>
      <c r="P13" s="114"/>
      <c r="Q13" s="8"/>
      <c r="R13" s="56"/>
      <c r="S13" s="8"/>
      <c r="T13" s="8"/>
      <c r="U13" s="8"/>
      <c r="V13" s="8"/>
      <c r="W13" s="146" t="s">
        <v>39</v>
      </c>
      <c r="X13" s="57"/>
      <c r="Y13" s="8"/>
    </row>
    <row r="14" spans="1:35" s="29" customFormat="1" ht="67.8">
      <c r="A14" s="28"/>
      <c r="B14" s="106"/>
      <c r="C14" s="124">
        <f>AE2</f>
        <v>850</v>
      </c>
      <c r="D14" s="124"/>
      <c r="E14" s="28"/>
      <c r="F14" s="28"/>
      <c r="G14" s="125">
        <f>AC2</f>
        <v>14850</v>
      </c>
      <c r="H14" s="107"/>
      <c r="I14" s="28"/>
      <c r="J14" s="121"/>
      <c r="K14" s="124">
        <f>AE3</f>
        <v>-350</v>
      </c>
      <c r="L14" s="124"/>
      <c r="M14" s="28"/>
      <c r="N14" s="28"/>
      <c r="O14" s="125">
        <f>AC3</f>
        <v>9650</v>
      </c>
      <c r="P14" s="122"/>
      <c r="Q14" s="28"/>
      <c r="R14" s="64"/>
      <c r="S14" s="124">
        <f>AE4</f>
        <v>-680</v>
      </c>
      <c r="T14" s="124"/>
      <c r="U14" s="28"/>
      <c r="V14" s="28"/>
      <c r="W14" s="125">
        <f>AC4</f>
        <v>7320</v>
      </c>
      <c r="X14" s="65"/>
      <c r="Y14" s="125"/>
    </row>
    <row r="15" spans="1:35" s="24" customFormat="1" ht="27">
      <c r="A15" s="20"/>
      <c r="B15" s="102"/>
      <c r="C15" s="53" t="s">
        <v>67</v>
      </c>
      <c r="D15" s="53"/>
      <c r="E15" s="20"/>
      <c r="F15" s="20"/>
      <c r="G15" s="52" t="s">
        <v>63</v>
      </c>
      <c r="H15" s="103"/>
      <c r="I15" s="20"/>
      <c r="J15" s="117"/>
      <c r="K15" s="53" t="s">
        <v>67</v>
      </c>
      <c r="L15" s="53"/>
      <c r="M15" s="20"/>
      <c r="N15" s="20"/>
      <c r="O15" s="52" t="s">
        <v>63</v>
      </c>
      <c r="P15" s="123"/>
      <c r="Q15" s="20"/>
      <c r="R15" s="60"/>
      <c r="S15" s="53" t="s">
        <v>67</v>
      </c>
      <c r="T15" s="53"/>
      <c r="U15" s="20"/>
      <c r="V15" s="20"/>
      <c r="W15" s="52" t="s">
        <v>63</v>
      </c>
      <c r="X15" s="66"/>
      <c r="Y15" s="20"/>
    </row>
    <row r="16" spans="1:35">
      <c r="A16" s="8"/>
      <c r="B16" s="98"/>
      <c r="C16" s="8"/>
      <c r="D16" s="8"/>
      <c r="E16" s="8"/>
      <c r="F16" s="8"/>
      <c r="G16" s="9"/>
      <c r="H16" s="99"/>
      <c r="I16" s="8"/>
      <c r="J16" s="113"/>
      <c r="K16" s="8"/>
      <c r="L16" s="8"/>
      <c r="M16" s="8"/>
      <c r="N16" s="8"/>
      <c r="O16" s="9"/>
      <c r="P16" s="114"/>
      <c r="Q16" s="8"/>
      <c r="R16" s="56"/>
      <c r="S16" s="8"/>
      <c r="T16" s="8"/>
      <c r="U16" s="8"/>
      <c r="V16" s="8"/>
      <c r="W16" s="8"/>
      <c r="X16" s="57"/>
      <c r="Y16" s="8"/>
    </row>
    <row r="17" spans="1:32">
      <c r="A17" s="8"/>
      <c r="B17" s="98"/>
      <c r="C17" s="8"/>
      <c r="D17" s="8"/>
      <c r="E17" s="8"/>
      <c r="F17" s="8"/>
      <c r="G17" s="9"/>
      <c r="H17" s="99"/>
      <c r="I17" s="8"/>
      <c r="J17" s="113"/>
      <c r="K17" s="8"/>
      <c r="L17" s="8"/>
      <c r="M17" s="8"/>
      <c r="N17" s="8"/>
      <c r="O17" s="9"/>
      <c r="P17" s="114"/>
      <c r="Q17" s="8"/>
      <c r="R17" s="56"/>
      <c r="S17" s="8"/>
      <c r="T17" s="8"/>
      <c r="U17" s="8"/>
      <c r="V17" s="8"/>
      <c r="W17" s="8"/>
      <c r="X17" s="57"/>
      <c r="Y17" s="8"/>
    </row>
    <row r="18" spans="1:32" s="140" customFormat="1" ht="38.4">
      <c r="A18" s="131"/>
      <c r="B18" s="127" t="s">
        <v>72</v>
      </c>
      <c r="C18" s="128"/>
      <c r="D18" s="128"/>
      <c r="E18" s="128"/>
      <c r="F18" s="129">
        <f>AF2</f>
        <v>1.0607142857142857</v>
      </c>
      <c r="G18" s="129"/>
      <c r="H18" s="130"/>
      <c r="I18" s="131"/>
      <c r="J18" s="132" t="s">
        <v>72</v>
      </c>
      <c r="K18" s="133"/>
      <c r="L18" s="133"/>
      <c r="M18" s="133"/>
      <c r="N18" s="134">
        <f>AF3</f>
        <v>0.96499999999999997</v>
      </c>
      <c r="O18" s="134"/>
      <c r="P18" s="135"/>
      <c r="Q18" s="131"/>
      <c r="R18" s="136" t="s">
        <v>72</v>
      </c>
      <c r="S18" s="137"/>
      <c r="T18" s="137"/>
      <c r="U18" s="137"/>
      <c r="V18" s="138">
        <f>AF4</f>
        <v>0.91500000000000004</v>
      </c>
      <c r="W18" s="138"/>
      <c r="X18" s="139"/>
      <c r="Y18" s="131"/>
    </row>
    <row r="19" spans="1:32" ht="60.6" customHeight="1">
      <c r="A19" s="8"/>
      <c r="B19" s="8"/>
      <c r="C19" s="8"/>
      <c r="D19" s="8"/>
      <c r="E19" s="8"/>
      <c r="F19" s="8"/>
      <c r="G19" s="9"/>
      <c r="H19" s="8"/>
      <c r="I19" s="8"/>
      <c r="J19" s="8"/>
      <c r="K19" s="8"/>
      <c r="L19" s="8"/>
      <c r="M19" s="8"/>
      <c r="N19" s="8"/>
      <c r="O19" s="9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32" ht="38.4">
      <c r="A20" s="8"/>
      <c r="B20" s="38"/>
      <c r="C20" s="126" t="s">
        <v>36</v>
      </c>
      <c r="D20" s="80"/>
      <c r="E20" s="80"/>
      <c r="F20" s="80"/>
      <c r="G20" s="81"/>
      <c r="H20" s="39"/>
      <c r="I20" s="40"/>
      <c r="J20" s="50"/>
      <c r="K20" s="51"/>
      <c r="L20" s="40"/>
      <c r="M20" s="51"/>
      <c r="N20" s="51"/>
      <c r="O20" s="75"/>
      <c r="P20" s="51"/>
      <c r="Q20" s="51"/>
      <c r="R20" s="51"/>
      <c r="S20" s="40"/>
      <c r="T20" s="40"/>
      <c r="U20" s="40"/>
      <c r="V20" s="40"/>
      <c r="W20" s="40"/>
      <c r="X20" s="41"/>
      <c r="Y20" s="8"/>
      <c r="AB20" s="2" t="s">
        <v>35</v>
      </c>
      <c r="AC20" s="2" t="s">
        <v>40</v>
      </c>
      <c r="AD20" s="2" t="s">
        <v>39</v>
      </c>
      <c r="AE20" s="2" t="s">
        <v>64</v>
      </c>
      <c r="AF20" t="s">
        <v>61</v>
      </c>
    </row>
    <row r="21" spans="1:32" ht="29.4">
      <c r="A21" s="8"/>
      <c r="B21" s="42"/>
      <c r="C21" s="79" t="s">
        <v>65</v>
      </c>
      <c r="D21" s="79"/>
      <c r="E21" s="79"/>
      <c r="F21" s="79"/>
      <c r="G21" s="82"/>
      <c r="H21" s="32"/>
      <c r="I21" s="8"/>
      <c r="J21" s="8"/>
      <c r="K21" s="8"/>
      <c r="L21" s="8"/>
      <c r="M21" s="8"/>
      <c r="N21" s="8"/>
      <c r="O21" s="9"/>
      <c r="P21" s="8"/>
      <c r="Q21" s="8"/>
      <c r="R21" s="8"/>
      <c r="S21" s="8"/>
      <c r="T21" s="8"/>
      <c r="U21" s="8"/>
      <c r="V21" s="8"/>
      <c r="W21" s="8"/>
      <c r="X21" s="43"/>
      <c r="Y21" s="8"/>
      <c r="AB21" s="17">
        <v>46187</v>
      </c>
      <c r="AC21" s="7">
        <f>SUMIFS(
T_HISTORIQUE[DECLASSES],
T_HISTORIQUE[DATE],
AB21
)</f>
        <v>225</v>
      </c>
      <c r="AD21" s="7">
        <f>SUMIFS(
T_HISTORIQUE[REALISE],
T_HISTORIQUE[DATE],
AB21
)</f>
        <v>31980</v>
      </c>
      <c r="AE21" s="19">
        <f>IFERROR(AC21/AD21,0)</f>
        <v>7.0356472795497184E-3</v>
      </c>
      <c r="AF21" s="18">
        <f>1.5%</f>
        <v>1.4999999999999999E-2</v>
      </c>
    </row>
    <row r="22" spans="1:32" ht="32.4">
      <c r="A22" s="8"/>
      <c r="B22" s="89"/>
      <c r="C22" s="30"/>
      <c r="D22" s="30"/>
      <c r="E22" s="30"/>
      <c r="F22" s="21"/>
      <c r="G22" s="90"/>
      <c r="H22" s="21"/>
      <c r="I22" s="8"/>
      <c r="J22" s="8"/>
      <c r="K22" s="8"/>
      <c r="L22" s="8"/>
      <c r="M22" s="31" t="s">
        <v>62</v>
      </c>
      <c r="N22" s="8"/>
      <c r="O22" s="9"/>
      <c r="P22" s="8"/>
      <c r="Q22" s="8"/>
      <c r="R22" s="8"/>
      <c r="S22" s="8"/>
      <c r="T22" s="8"/>
      <c r="U22" s="8"/>
      <c r="V22" s="8"/>
      <c r="W22" s="8"/>
      <c r="X22" s="43"/>
      <c r="Y22" s="8"/>
      <c r="Z22"/>
      <c r="AA22"/>
      <c r="AB22" s="17">
        <v>46188</v>
      </c>
      <c r="AC22" s="7">
        <f>SUMIFS(
T_HISTORIQUE[DECLASSES],
T_HISTORIQUE[DATE],
AB22
)</f>
        <v>240</v>
      </c>
      <c r="AD22" s="7">
        <f>SUMIFS(
T_HISTORIQUE[REALISE],
T_HISTORIQUE[DATE],
AB22
)</f>
        <v>31890</v>
      </c>
      <c r="AE22" s="19">
        <f t="shared" ref="AE22:AE38" si="3">IFERROR(AC22/AD22,0)</f>
        <v>7.525870178739417E-3</v>
      </c>
      <c r="AF22" s="18">
        <f t="shared" ref="AF22:AF38" si="4">1.5%</f>
        <v>1.4999999999999999E-2</v>
      </c>
    </row>
    <row r="23" spans="1:32" ht="29.4">
      <c r="A23" s="8"/>
      <c r="B23" s="89"/>
      <c r="C23" s="30"/>
      <c r="D23" s="30"/>
      <c r="E23" s="30"/>
      <c r="F23" s="21"/>
      <c r="G23" s="90"/>
      <c r="H23" s="21"/>
      <c r="I23" s="8"/>
      <c r="J23" s="8"/>
      <c r="K23" s="8"/>
      <c r="L23" s="8"/>
      <c r="M23" s="8"/>
      <c r="N23" s="8"/>
      <c r="O23" s="9"/>
      <c r="P23" s="8"/>
      <c r="Q23" s="8"/>
      <c r="R23" s="8"/>
      <c r="S23" s="8"/>
      <c r="T23" s="8"/>
      <c r="U23" s="8"/>
      <c r="V23" s="8"/>
      <c r="W23" s="8"/>
      <c r="X23" s="43"/>
      <c r="Y23" s="8"/>
      <c r="Z23"/>
      <c r="AA23"/>
      <c r="AB23" s="17">
        <v>46189</v>
      </c>
      <c r="AC23" s="7">
        <f>SUMIFS(
T_HISTORIQUE[DECLASSES],
T_HISTORIQUE[DATE],
AB23
)</f>
        <v>185</v>
      </c>
      <c r="AD23" s="7">
        <f>SUMIFS(
T_HISTORIQUE[REALISE],
T_HISTORIQUE[DATE],
AB23
)</f>
        <v>32530</v>
      </c>
      <c r="AE23" s="19">
        <f t="shared" si="3"/>
        <v>5.687058100215186E-3</v>
      </c>
      <c r="AF23" s="18">
        <f t="shared" si="4"/>
        <v>1.4999999999999999E-2</v>
      </c>
    </row>
    <row r="24" spans="1:32" ht="61.8" customHeight="1">
      <c r="A24" s="8"/>
      <c r="B24" s="89"/>
      <c r="C24" s="161" t="s">
        <v>71</v>
      </c>
      <c r="D24" s="162"/>
      <c r="E24" s="162"/>
      <c r="F24" s="163"/>
      <c r="G24" s="164">
        <f>SUMIFS(
T_HISTORIQUE[DECLASSES],
T_HISTORIQUE[DATE],
$AA$2
)</f>
        <v>244</v>
      </c>
      <c r="H24" s="21"/>
      <c r="I24" s="8"/>
      <c r="J24" s="8"/>
      <c r="K24" s="8"/>
      <c r="L24" s="8"/>
      <c r="M24" s="8"/>
      <c r="N24" s="8"/>
      <c r="O24" s="9"/>
      <c r="P24" s="8"/>
      <c r="Q24" s="8"/>
      <c r="R24" s="8"/>
      <c r="S24" s="8"/>
      <c r="T24" s="8"/>
      <c r="U24" s="8"/>
      <c r="V24" s="8"/>
      <c r="W24" s="8"/>
      <c r="X24" s="43"/>
      <c r="Y24" s="8" t="s">
        <v>68</v>
      </c>
      <c r="Z24"/>
      <c r="AA24"/>
      <c r="AB24" s="17">
        <v>46190</v>
      </c>
      <c r="AC24" s="7">
        <f>SUMIFS(
T_HISTORIQUE[DECLASSES],
T_HISTORIQUE[DATE],
AB24
)</f>
        <v>206</v>
      </c>
      <c r="AD24" s="7">
        <f>SUMIFS(
T_HISTORIQUE[REALISE],
T_HISTORIQUE[DATE],
AB24
)</f>
        <v>31550</v>
      </c>
      <c r="AE24" s="19">
        <f t="shared" si="3"/>
        <v>6.5293185419968303E-3</v>
      </c>
      <c r="AF24" s="18">
        <f t="shared" si="4"/>
        <v>1.4999999999999999E-2</v>
      </c>
    </row>
    <row r="25" spans="1:32" ht="24" customHeight="1">
      <c r="A25" s="8"/>
      <c r="B25" s="89"/>
      <c r="C25" s="30"/>
      <c r="D25" s="30"/>
      <c r="E25" s="30"/>
      <c r="F25" s="21"/>
      <c r="G25" s="74"/>
      <c r="H25" s="21"/>
      <c r="I25" s="8"/>
      <c r="J25" s="8"/>
      <c r="K25" s="8"/>
      <c r="L25" s="8"/>
      <c r="M25" s="8"/>
      <c r="N25" s="8"/>
      <c r="O25" s="9"/>
      <c r="P25" s="8"/>
      <c r="Q25" s="8"/>
      <c r="R25" s="8"/>
      <c r="S25" s="8"/>
      <c r="T25" s="8"/>
      <c r="U25" s="8"/>
      <c r="V25" s="8"/>
      <c r="W25" s="8"/>
      <c r="X25" s="43"/>
      <c r="Y25" s="8"/>
      <c r="Z25"/>
      <c r="AA25"/>
      <c r="AB25" s="17">
        <v>46191</v>
      </c>
      <c r="AC25" s="7">
        <f>SUMIFS(
T_HISTORIQUE[DECLASSES],
T_HISTORIQUE[DATE],
AB25
)</f>
        <v>201</v>
      </c>
      <c r="AD25" s="7">
        <f>SUMIFS(
T_HISTORIQUE[REALISE],
T_HISTORIQUE[DATE],
AB25
)</f>
        <v>33010</v>
      </c>
      <c r="AE25" s="19">
        <f t="shared" si="3"/>
        <v>6.0890639200242352E-3</v>
      </c>
      <c r="AF25" s="18">
        <f t="shared" si="4"/>
        <v>1.4999999999999999E-2</v>
      </c>
    </row>
    <row r="26" spans="1:32" ht="67.8">
      <c r="A26" s="8"/>
      <c r="B26" s="89"/>
      <c r="C26" s="162" t="s">
        <v>70</v>
      </c>
      <c r="D26" s="162"/>
      <c r="E26" s="162"/>
      <c r="F26" s="163"/>
      <c r="G26" s="165">
        <f>SUMIFS(
T_HISTORIQUE[REALISE],
T_HISTORIQUE[DATE],
$AA$2
)</f>
        <v>31820</v>
      </c>
      <c r="H26" s="21"/>
      <c r="I26" s="8"/>
      <c r="J26" s="8"/>
      <c r="K26" s="8"/>
      <c r="L26" s="8"/>
      <c r="M26" s="8"/>
      <c r="N26" s="8"/>
      <c r="O26" s="9"/>
      <c r="P26" s="8"/>
      <c r="Q26" s="8"/>
      <c r="R26" s="8"/>
      <c r="S26" s="8"/>
      <c r="T26" s="8"/>
      <c r="U26" s="8"/>
      <c r="V26" s="8"/>
      <c r="W26" s="8"/>
      <c r="X26" s="43"/>
      <c r="Y26" s="8"/>
      <c r="Z26"/>
      <c r="AA26"/>
      <c r="AB26" s="17">
        <v>46192</v>
      </c>
      <c r="AC26" s="7">
        <f>SUMIFS(
T_HISTORIQUE[DECLASSES],
T_HISTORIQUE[DATE],
AB26
)</f>
        <v>154</v>
      </c>
      <c r="AD26" s="7">
        <f>SUMIFS(
T_HISTORIQUE[REALISE],
T_HISTORIQUE[DATE],
AB26
)</f>
        <v>32290</v>
      </c>
      <c r="AE26" s="19">
        <f t="shared" si="3"/>
        <v>4.7692784143697738E-3</v>
      </c>
      <c r="AF26" s="18">
        <f t="shared" si="4"/>
        <v>1.4999999999999999E-2</v>
      </c>
    </row>
    <row r="27" spans="1:32" ht="27.6" customHeight="1">
      <c r="A27" s="8"/>
      <c r="B27" s="89"/>
      <c r="C27" s="30"/>
      <c r="D27" s="30"/>
      <c r="E27" s="30"/>
      <c r="F27" s="21"/>
      <c r="G27" s="74"/>
      <c r="H27" s="21"/>
      <c r="I27" s="8"/>
      <c r="J27" s="8"/>
      <c r="K27" s="8"/>
      <c r="L27" s="8"/>
      <c r="M27" s="8"/>
      <c r="N27" s="8"/>
      <c r="O27" s="9"/>
      <c r="P27" s="8"/>
      <c r="Q27" s="8"/>
      <c r="R27" s="8"/>
      <c r="S27" s="8"/>
      <c r="T27" s="8"/>
      <c r="U27" s="8"/>
      <c r="V27" s="8"/>
      <c r="W27" s="8"/>
      <c r="X27" s="43"/>
      <c r="Y27" s="8"/>
      <c r="AB27" s="17">
        <v>46193</v>
      </c>
      <c r="AC27" s="7">
        <f>SUMIFS(
T_HISTORIQUE[DECLASSES],
T_HISTORIQUE[DATE],
AB27
)</f>
        <v>244</v>
      </c>
      <c r="AD27" s="7">
        <f>SUMIFS(
T_HISTORIQUE[REALISE],
T_HISTORIQUE[DATE],
AB27
)</f>
        <v>31820</v>
      </c>
      <c r="AE27" s="19">
        <f t="shared" si="3"/>
        <v>7.668133249528598E-3</v>
      </c>
      <c r="AF27" s="18">
        <f t="shared" si="4"/>
        <v>1.4999999999999999E-2</v>
      </c>
    </row>
    <row r="28" spans="1:32" ht="67.8">
      <c r="A28" s="8"/>
      <c r="B28" s="89"/>
      <c r="C28" s="161" t="s">
        <v>69</v>
      </c>
      <c r="D28" s="162"/>
      <c r="E28" s="162"/>
      <c r="F28" s="163"/>
      <c r="G28" s="166">
        <f>IFERROR(AA10/AB10,0)</f>
        <v>7.668133249528598E-3</v>
      </c>
      <c r="H28" s="21"/>
      <c r="I28" s="8"/>
      <c r="J28" s="8"/>
      <c r="K28" s="8"/>
      <c r="L28" s="8"/>
      <c r="M28" s="8"/>
      <c r="N28" s="8"/>
      <c r="O28" s="9"/>
      <c r="P28" s="8"/>
      <c r="Q28" s="8"/>
      <c r="R28" s="8"/>
      <c r="S28" s="8"/>
      <c r="T28" s="8"/>
      <c r="U28" s="8"/>
      <c r="V28" s="8"/>
      <c r="W28" s="8"/>
      <c r="X28" s="43"/>
      <c r="Y28" s="8"/>
      <c r="AB28" s="17">
        <v>46194</v>
      </c>
      <c r="AC28" s="7">
        <f>SUMIFS(
T_HISTORIQUE[DECLASSES],
T_HISTORIQUE[DATE],
AB28
)</f>
        <v>0</v>
      </c>
      <c r="AD28" s="7">
        <f>SUMIFS(
T_HISTORIQUE[REALISE],
T_HISTORIQUE[DATE],
AB28
)</f>
        <v>0</v>
      </c>
      <c r="AE28" s="19">
        <f t="shared" si="3"/>
        <v>0</v>
      </c>
      <c r="AF28" s="18">
        <f t="shared" si="4"/>
        <v>1.4999999999999999E-2</v>
      </c>
    </row>
    <row r="29" spans="1:32" ht="25.8" customHeight="1">
      <c r="A29" s="8"/>
      <c r="B29" s="89"/>
      <c r="C29" s="30"/>
      <c r="D29" s="30"/>
      <c r="E29" s="30"/>
      <c r="F29" s="21"/>
      <c r="G29" s="74"/>
      <c r="H29" s="21"/>
      <c r="I29" s="8"/>
      <c r="J29" s="8"/>
      <c r="K29" s="8"/>
      <c r="L29" s="8"/>
      <c r="M29" s="8"/>
      <c r="N29" s="8"/>
      <c r="O29" s="9"/>
      <c r="P29" s="8"/>
      <c r="Q29" s="8"/>
      <c r="R29" s="8"/>
      <c r="S29" s="8"/>
      <c r="T29" s="8"/>
      <c r="U29" s="8"/>
      <c r="V29" s="8"/>
      <c r="W29" s="8"/>
      <c r="X29" s="43"/>
      <c r="AB29" s="17">
        <v>46195</v>
      </c>
      <c r="AC29" s="7">
        <f>SUMIFS(
T_HISTORIQUE[DECLASSES],
T_HISTORIQUE[DATE],
AB29
)</f>
        <v>0</v>
      </c>
      <c r="AD29" s="7">
        <f>SUMIFS(
T_HISTORIQUE[REALISE],
T_HISTORIQUE[DATE],
AB29
)</f>
        <v>0</v>
      </c>
      <c r="AE29" s="19">
        <f t="shared" si="3"/>
        <v>0</v>
      </c>
      <c r="AF29" s="18">
        <f t="shared" si="4"/>
        <v>1.4999999999999999E-2</v>
      </c>
    </row>
    <row r="30" spans="1:32" ht="67.8">
      <c r="A30" s="8"/>
      <c r="B30" s="89"/>
      <c r="C30" s="162" t="s">
        <v>61</v>
      </c>
      <c r="D30" s="162"/>
      <c r="E30" s="162"/>
      <c r="F30" s="163"/>
      <c r="G30" s="164" t="str">
        <f>"≤ "&amp;TEXT(1.5%,"0,00%")</f>
        <v>≤ 1,50%</v>
      </c>
      <c r="H30" s="21"/>
      <c r="I30" s="8"/>
      <c r="J30" s="8"/>
      <c r="K30" s="8"/>
      <c r="L30" s="8"/>
      <c r="M30" s="8"/>
      <c r="N30" s="8"/>
      <c r="O30" s="9"/>
      <c r="P30" s="8"/>
      <c r="Q30" s="8"/>
      <c r="R30" s="8"/>
      <c r="S30" s="8"/>
      <c r="T30" s="8"/>
      <c r="U30" s="8"/>
      <c r="V30" s="8"/>
      <c r="W30" s="8"/>
      <c r="X30" s="43"/>
      <c r="AB30" s="17">
        <v>46196</v>
      </c>
      <c r="AC30" s="7">
        <f>SUMIFS(
T_HISTORIQUE[DECLASSES],
T_HISTORIQUE[DATE],
AB30
)</f>
        <v>0</v>
      </c>
      <c r="AD30" s="7">
        <f>SUMIFS(
T_HISTORIQUE[REALISE],
T_HISTORIQUE[DATE],
AB30
)</f>
        <v>0</v>
      </c>
      <c r="AE30" s="19">
        <f t="shared" si="3"/>
        <v>0</v>
      </c>
      <c r="AF30" s="18">
        <f t="shared" si="4"/>
        <v>1.4999999999999999E-2</v>
      </c>
    </row>
    <row r="31" spans="1:32" ht="29.4">
      <c r="A31" s="8"/>
      <c r="B31" s="89"/>
      <c r="C31" s="30"/>
      <c r="D31" s="30"/>
      <c r="E31" s="30"/>
      <c r="F31" s="21"/>
      <c r="G31" s="83"/>
      <c r="H31" s="21"/>
      <c r="I31" s="8"/>
      <c r="J31" s="8"/>
      <c r="K31" s="8"/>
      <c r="L31" s="8"/>
      <c r="M31" s="8"/>
      <c r="N31" s="8"/>
      <c r="O31" s="9"/>
      <c r="P31" s="8"/>
      <c r="Q31" s="8"/>
      <c r="R31" s="8"/>
      <c r="S31" s="8"/>
      <c r="T31" s="8"/>
      <c r="U31" s="8"/>
      <c r="V31" s="8"/>
      <c r="W31" s="8"/>
      <c r="X31" s="43"/>
      <c r="AB31" s="17">
        <v>46197</v>
      </c>
      <c r="AC31" s="7">
        <f>SUMIFS(
T_HISTORIQUE[DECLASSES],
T_HISTORIQUE[DATE],
AB31
)</f>
        <v>0</v>
      </c>
      <c r="AD31" s="7">
        <f>SUMIFS(
T_HISTORIQUE[REALISE],
T_HISTORIQUE[DATE],
AB31
)</f>
        <v>0</v>
      </c>
      <c r="AE31" s="19">
        <f t="shared" si="3"/>
        <v>0</v>
      </c>
      <c r="AF31" s="18">
        <f t="shared" si="4"/>
        <v>1.4999999999999999E-2</v>
      </c>
    </row>
    <row r="32" spans="1:32" ht="29.4">
      <c r="A32" s="8"/>
      <c r="B32" s="89"/>
      <c r="C32" s="21"/>
      <c r="D32" s="21"/>
      <c r="E32" s="21"/>
      <c r="F32" s="21"/>
      <c r="G32" s="90"/>
      <c r="H32" s="21"/>
      <c r="I32" s="8"/>
      <c r="J32" s="8"/>
      <c r="K32" s="8"/>
      <c r="L32" s="8"/>
      <c r="M32" s="8"/>
      <c r="N32" s="8"/>
      <c r="O32" s="9"/>
      <c r="P32" s="8"/>
      <c r="Q32" s="8"/>
      <c r="R32" s="8"/>
      <c r="S32" s="8"/>
      <c r="T32" s="8"/>
      <c r="U32" s="8"/>
      <c r="V32" s="8"/>
      <c r="W32" s="8"/>
      <c r="X32" s="43"/>
      <c r="AB32" s="17">
        <v>46198</v>
      </c>
      <c r="AC32" s="7">
        <f>SUMIFS(
T_HISTORIQUE[DECLASSES],
T_HISTORIQUE[DATE],
AB32
)</f>
        <v>0</v>
      </c>
      <c r="AD32" s="7">
        <f>SUMIFS(
T_HISTORIQUE[REALISE],
T_HISTORIQUE[DATE],
AB32
)</f>
        <v>0</v>
      </c>
      <c r="AE32" s="19">
        <f t="shared" si="3"/>
        <v>0</v>
      </c>
      <c r="AF32" s="18">
        <f t="shared" si="4"/>
        <v>1.4999999999999999E-2</v>
      </c>
    </row>
    <row r="33" spans="1:32" ht="29.4">
      <c r="A33" s="8"/>
      <c r="B33" s="89"/>
      <c r="C33" s="30"/>
      <c r="D33" s="30"/>
      <c r="E33" s="30"/>
      <c r="F33" s="21"/>
      <c r="G33" s="83"/>
      <c r="H33" s="21"/>
      <c r="I33" s="8"/>
      <c r="J33" s="8"/>
      <c r="K33" s="8"/>
      <c r="L33" s="8"/>
      <c r="M33" s="8"/>
      <c r="N33" s="8"/>
      <c r="O33" s="9"/>
      <c r="P33" s="8"/>
      <c r="Q33" s="8"/>
      <c r="R33" s="8"/>
      <c r="S33" s="8"/>
      <c r="T33" s="8"/>
      <c r="U33" s="8"/>
      <c r="V33" s="8"/>
      <c r="W33" s="8"/>
      <c r="X33" s="43"/>
      <c r="AB33" s="17">
        <v>46199</v>
      </c>
      <c r="AC33" s="7">
        <f>SUMIFS(
T_HISTORIQUE[DECLASSES],
T_HISTORIQUE[DATE],
AB33
)</f>
        <v>0</v>
      </c>
      <c r="AD33" s="7">
        <f>SUMIFS(
T_HISTORIQUE[REALISE],
T_HISTORIQUE[DATE],
AB33
)</f>
        <v>0</v>
      </c>
      <c r="AE33" s="19">
        <f t="shared" si="3"/>
        <v>0</v>
      </c>
      <c r="AF33" s="18">
        <f t="shared" si="4"/>
        <v>1.4999999999999999E-2</v>
      </c>
    </row>
    <row r="34" spans="1:32" ht="20.399999999999999">
      <c r="A34" s="8"/>
      <c r="B34" s="86"/>
      <c r="C34" s="91"/>
      <c r="D34" s="91"/>
      <c r="E34" s="91"/>
      <c r="F34" s="91"/>
      <c r="G34" s="92"/>
      <c r="H34" s="87"/>
      <c r="I34" s="87"/>
      <c r="J34" s="8"/>
      <c r="K34" s="8"/>
      <c r="L34" s="8"/>
      <c r="M34" s="8"/>
      <c r="N34" s="8"/>
      <c r="O34" s="9"/>
      <c r="P34" s="8"/>
      <c r="Q34" s="8"/>
      <c r="R34" s="8"/>
      <c r="S34" s="8"/>
      <c r="T34" s="8"/>
      <c r="U34" s="8"/>
      <c r="V34" s="8"/>
      <c r="W34" s="8"/>
      <c r="X34" s="43"/>
      <c r="AB34" s="17">
        <v>46200</v>
      </c>
      <c r="AC34" s="7">
        <f>SUMIFS(
T_HISTORIQUE[DECLASSES],
T_HISTORIQUE[DATE],
AB34
)</f>
        <v>0</v>
      </c>
      <c r="AD34" s="7">
        <f>SUMIFS(
T_HISTORIQUE[REALISE],
T_HISTORIQUE[DATE],
AB34
)</f>
        <v>0</v>
      </c>
      <c r="AE34" s="19">
        <f t="shared" si="3"/>
        <v>0</v>
      </c>
      <c r="AF34" s="18">
        <f t="shared" si="4"/>
        <v>1.4999999999999999E-2</v>
      </c>
    </row>
    <row r="35" spans="1:32" ht="52.2">
      <c r="A35" s="8"/>
      <c r="B35" s="151"/>
      <c r="C35" s="152" t="s">
        <v>73</v>
      </c>
      <c r="D35" s="85"/>
      <c r="E35" s="85"/>
      <c r="F35" s="84"/>
      <c r="G35" s="153" t="str">
        <f>IF(AC10&lt;=1.5%,"CONFORME",
IF(AC10&lt;=2%,"SURVEILLANCE",
"ACTION"))</f>
        <v>CONFORME</v>
      </c>
      <c r="H35" s="84"/>
      <c r="I35" s="88"/>
      <c r="J35" s="37"/>
      <c r="K35" s="37"/>
      <c r="L35" s="37"/>
      <c r="M35" s="37"/>
      <c r="N35" s="37"/>
      <c r="O35" s="76"/>
      <c r="P35" s="37"/>
      <c r="Q35" s="37"/>
      <c r="R35" s="37"/>
      <c r="S35" s="37"/>
      <c r="T35" s="37"/>
      <c r="U35" s="37"/>
      <c r="V35" s="37"/>
      <c r="W35" s="37"/>
      <c r="X35" s="44"/>
      <c r="AB35" s="17">
        <v>46201</v>
      </c>
      <c r="AC35" s="7">
        <f>SUMIFS(
T_HISTORIQUE[DECLASSES],
T_HISTORIQUE[DATE],
AB35
)</f>
        <v>0</v>
      </c>
      <c r="AD35" s="7">
        <f>SUMIFS(
T_HISTORIQUE[REALISE],
T_HISTORIQUE[DATE],
AB35
)</f>
        <v>0</v>
      </c>
      <c r="AE35" s="19">
        <f t="shared" si="3"/>
        <v>0</v>
      </c>
      <c r="AF35" s="18">
        <f t="shared" si="4"/>
        <v>1.4999999999999999E-2</v>
      </c>
    </row>
    <row r="36" spans="1:32">
      <c r="B36" s="8"/>
      <c r="C36" s="8"/>
      <c r="D36" s="8"/>
      <c r="E36" s="8"/>
      <c r="F36" s="8"/>
      <c r="G36" s="9"/>
      <c r="H36" s="8"/>
      <c r="I36" s="8"/>
      <c r="J36" s="8"/>
      <c r="K36" s="8"/>
      <c r="L36" s="8"/>
      <c r="M36" s="8"/>
      <c r="N36" s="8"/>
      <c r="O36" s="9"/>
      <c r="P36" s="8"/>
      <c r="Q36" s="8"/>
      <c r="R36" s="8"/>
      <c r="S36" s="8"/>
      <c r="T36" s="8"/>
      <c r="U36" s="8"/>
      <c r="V36" s="8"/>
      <c r="W36" s="8"/>
      <c r="X36" s="8"/>
      <c r="AB36" s="17">
        <v>46202</v>
      </c>
      <c r="AC36" s="7">
        <f>SUMIFS(
T_HISTORIQUE[DECLASSES],
T_HISTORIQUE[DATE],
AB36
)</f>
        <v>0</v>
      </c>
      <c r="AD36" s="7">
        <f>SUMIFS(
T_HISTORIQUE[REALISE],
T_HISTORIQUE[DATE],
AB36
)</f>
        <v>0</v>
      </c>
      <c r="AE36" s="19">
        <f t="shared" si="3"/>
        <v>0</v>
      </c>
      <c r="AF36" s="18">
        <f t="shared" si="4"/>
        <v>1.4999999999999999E-2</v>
      </c>
    </row>
    <row r="37" spans="1:32">
      <c r="AB37" s="17">
        <v>46203</v>
      </c>
      <c r="AC37" s="7">
        <f>SUMIFS(
T_HISTORIQUE[DECLASSES],
T_HISTORIQUE[DATE],
AB37
)</f>
        <v>0</v>
      </c>
      <c r="AD37" s="7">
        <f>SUMIFS(
T_HISTORIQUE[REALISE],
T_HISTORIQUE[DATE],
AB37
)</f>
        <v>0</v>
      </c>
      <c r="AE37" s="19">
        <f t="shared" si="3"/>
        <v>0</v>
      </c>
      <c r="AF37" s="18">
        <f t="shared" si="4"/>
        <v>1.4999999999999999E-2</v>
      </c>
    </row>
    <row r="38" spans="1:32">
      <c r="AB38" s="17">
        <v>46204</v>
      </c>
      <c r="AC38" s="7">
        <f>SUMIFS(
T_HISTORIQUE[DECLASSES],
T_HISTORIQUE[DATE],
AB38
)</f>
        <v>0</v>
      </c>
      <c r="AD38" s="7">
        <f>SUMIFS(
T_HISTORIQUE[REALISE],
T_HISTORIQUE[DATE],
AB38
)</f>
        <v>0</v>
      </c>
      <c r="AE38" s="19">
        <f t="shared" si="3"/>
        <v>0</v>
      </c>
      <c r="AF38" s="18">
        <f t="shared" si="4"/>
        <v>1.4999999999999999E-2</v>
      </c>
    </row>
  </sheetData>
  <mergeCells count="21">
    <mergeCell ref="B18:E18"/>
    <mergeCell ref="V18:X18"/>
    <mergeCell ref="N18:P18"/>
    <mergeCell ref="F18:H18"/>
    <mergeCell ref="C15:D15"/>
    <mergeCell ref="K15:L15"/>
    <mergeCell ref="S15:T15"/>
    <mergeCell ref="R18:U18"/>
    <mergeCell ref="J18:M18"/>
    <mergeCell ref="C12:D12"/>
    <mergeCell ref="C14:D14"/>
    <mergeCell ref="K9:L9"/>
    <mergeCell ref="K12:L12"/>
    <mergeCell ref="K14:L14"/>
    <mergeCell ref="S9:T9"/>
    <mergeCell ref="S12:T12"/>
    <mergeCell ref="S14:T14"/>
    <mergeCell ref="B7:H7"/>
    <mergeCell ref="J7:P7"/>
    <mergeCell ref="R7:X7"/>
    <mergeCell ref="C9:D9"/>
  </mergeCells>
  <pageMargins left="0.7" right="0.7" top="0.75" bottom="0.75" header="0.3" footer="0.3"/>
  <pageSetup paperSize="9" scale="32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01_PARAMETRES</vt:lpstr>
      <vt:lpstr>02_SAISIE_JOUR</vt:lpstr>
      <vt:lpstr>03_HISTORIQUE</vt:lpstr>
      <vt:lpstr>04_KPI</vt:lpstr>
      <vt:lpstr>06_ANALYSE_HEBDO</vt:lpstr>
      <vt:lpstr>05_DASHBOARD_JOUR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PROPRIETAIRE</dc:creator>
  <cp:lastModifiedBy>PROPRIETAIRE</cp:lastModifiedBy>
  <cp:lastPrinted>2026-06-25T19:43:53Z</cp:lastPrinted>
  <dcterms:created xsi:type="dcterms:W3CDTF">2026-06-20T20:01:04Z</dcterms:created>
  <dcterms:modified xsi:type="dcterms:W3CDTF">2026-06-25T20:09:18Z</dcterms:modified>
</cp:coreProperties>
</file>