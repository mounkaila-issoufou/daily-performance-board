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RIETAIRE\Desktop\data analytics\daily-performance-board\excel\"/>
    </mc:Choice>
  </mc:AlternateContent>
  <xr:revisionPtr revIDLastSave="0" documentId="13_ncr:1_{69C57309-99B9-472E-8275-E34092644980}" xr6:coauthVersionLast="36" xr6:coauthVersionMax="36" xr10:uidLastSave="{00000000-0000-0000-0000-000000000000}"/>
  <bookViews>
    <workbookView xWindow="0" yWindow="0" windowWidth="23040" windowHeight="10284" activeTab="4" xr2:uid="{262B7350-0BCB-4C3E-A161-B1063555A7F0}"/>
  </bookViews>
  <sheets>
    <sheet name="01_PARAMETRES" sheetId="2" r:id="rId1"/>
    <sheet name="02_SAISIE_JOUR" sheetId="1" r:id="rId2"/>
    <sheet name="03_HISTORIQUE" sheetId="6" r:id="rId3"/>
    <sheet name="04_KPI" sheetId="3" r:id="rId4"/>
    <sheet name="05_DASHBOARD_JOUR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1" i="4" l="1"/>
  <c r="AB3" i="4"/>
  <c r="AB4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H33" i="4" l="1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24" i="4"/>
  <c r="H13" i="6"/>
  <c r="AB2" i="4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H2" i="6"/>
  <c r="H3" i="6"/>
  <c r="H4" i="6"/>
  <c r="H5" i="6"/>
  <c r="H6" i="6"/>
  <c r="H7" i="6"/>
  <c r="H8" i="6"/>
  <c r="H9" i="6"/>
  <c r="H10" i="6"/>
  <c r="H11" i="6"/>
  <c r="H12" i="6"/>
  <c r="H14" i="6"/>
  <c r="H15" i="6"/>
  <c r="H16" i="6"/>
  <c r="H17" i="6"/>
  <c r="H18" i="6"/>
  <c r="H19" i="6"/>
  <c r="H20" i="6"/>
  <c r="H21" i="6"/>
  <c r="H22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AD4" i="4" l="1"/>
  <c r="U15" i="4" s="1"/>
  <c r="AD2" i="4"/>
  <c r="E15" i="4" s="1"/>
  <c r="AC3" i="4"/>
  <c r="M11" i="4" s="1"/>
  <c r="H29" i="4"/>
  <c r="V3" i="4"/>
  <c r="AF26" i="4"/>
  <c r="AF34" i="4"/>
  <c r="AF39" i="4"/>
  <c r="AF28" i="4"/>
  <c r="AF36" i="4"/>
  <c r="AF35" i="4"/>
  <c r="AF31" i="4"/>
  <c r="AF24" i="4"/>
  <c r="AF41" i="4"/>
  <c r="AF33" i="4"/>
  <c r="AF25" i="4"/>
  <c r="AF40" i="4"/>
  <c r="AF32" i="4"/>
  <c r="AF27" i="4"/>
  <c r="AF38" i="4"/>
  <c r="AF30" i="4"/>
  <c r="AF37" i="4"/>
  <c r="AF29" i="4"/>
  <c r="H27" i="4"/>
  <c r="AE4" i="4"/>
  <c r="AC2" i="4"/>
  <c r="E11" i="4" s="1"/>
  <c r="AE2" i="4"/>
  <c r="AE3" i="4"/>
  <c r="AC4" i="4"/>
  <c r="U11" i="4" s="1"/>
  <c r="AD3" i="4"/>
  <c r="H31" i="4" l="1"/>
  <c r="H38" i="4"/>
  <c r="AG2" i="4"/>
  <c r="AF2" i="4"/>
  <c r="E18" i="4" s="1"/>
  <c r="AG4" i="4"/>
  <c r="AH4" i="4" s="1"/>
  <c r="S11" i="4" s="1"/>
  <c r="AF4" i="4"/>
  <c r="U18" i="4" s="1"/>
  <c r="AF3" i="4"/>
  <c r="M15" i="4"/>
  <c r="AG3" i="4"/>
  <c r="AJ3" i="4" l="1"/>
  <c r="K13" i="4" s="1"/>
  <c r="AI3" i="4"/>
  <c r="AH3" i="4"/>
  <c r="AJ4" i="4"/>
  <c r="S13" i="4" s="1"/>
  <c r="AI4" i="4"/>
  <c r="AH2" i="4"/>
  <c r="C11" i="4" s="1"/>
  <c r="AJ2" i="4"/>
  <c r="C13" i="4" s="1"/>
  <c r="AI2" i="4"/>
</calcChain>
</file>

<file path=xl/sharedStrings.xml><?xml version="1.0" encoding="utf-8"?>
<sst xmlns="http://schemas.openxmlformats.org/spreadsheetml/2006/main" count="187" uniqueCount="82">
  <si>
    <t>FormatID</t>
  </si>
  <si>
    <t>Format</t>
  </si>
  <si>
    <t>F200</t>
  </si>
  <si>
    <t>200 g</t>
  </si>
  <si>
    <t>F270</t>
  </si>
  <si>
    <t>270 g</t>
  </si>
  <si>
    <t>F350</t>
  </si>
  <si>
    <t>350 g</t>
  </si>
  <si>
    <t>Objectifs</t>
  </si>
  <si>
    <t>Objectif Journalier</t>
  </si>
  <si>
    <t>Seuils visuels</t>
  </si>
  <si>
    <t>Indicateur</t>
  </si>
  <si>
    <t>Vert</t>
  </si>
  <si>
    <t>Orange</t>
  </si>
  <si>
    <t>Rouge</t>
  </si>
  <si>
    <t>Production</t>
  </si>
  <si>
    <t>&gt;100%</t>
  </si>
  <si>
    <t>95-100%</t>
  </si>
  <si>
    <t>&lt;95%</t>
  </si>
  <si>
    <t>Déclassement</t>
  </si>
  <si>
    <t>&lt;1,5%</t>
  </si>
  <si>
    <t>1,5-2%</t>
  </si>
  <si>
    <t>&gt;2%</t>
  </si>
  <si>
    <t>Objectif</t>
  </si>
  <si>
    <t>Réalisé</t>
  </si>
  <si>
    <t>Déclassés</t>
  </si>
  <si>
    <t>T_DASHBOARD</t>
  </si>
  <si>
    <t>PARAMETRE</t>
  </si>
  <si>
    <t>VALEUR</t>
  </si>
  <si>
    <t>Nb jours tendance</t>
  </si>
  <si>
    <t>Heure rafraîchissement</t>
  </si>
  <si>
    <t>Affichage objectif</t>
  </si>
  <si>
    <t>Oui</t>
  </si>
  <si>
    <t>Affichage déclassement</t>
  </si>
  <si>
    <t xml:space="preserve">ATELIER CONDITIONNEMENT </t>
  </si>
  <si>
    <t>DATE</t>
  </si>
  <si>
    <t>TRI DES DÉCLASSÉS</t>
  </si>
  <si>
    <t>FORMAT</t>
  </si>
  <si>
    <t>OBJECTIF_JOUR</t>
  </si>
  <si>
    <t>REALISE</t>
  </si>
  <si>
    <t>DECLASSES</t>
  </si>
  <si>
    <t>COMMENTAIRE</t>
  </si>
  <si>
    <t>RAS</t>
  </si>
  <si>
    <t>Changement lot</t>
  </si>
  <si>
    <t>Nettoyage</t>
  </si>
  <si>
    <t>Micro-arrêt</t>
  </si>
  <si>
    <t>Changement format</t>
  </si>
  <si>
    <t>Arrêt peseuse 20 min</t>
  </si>
  <si>
    <t>ECART</t>
  </si>
  <si>
    <t>TAUX_REALISATION</t>
  </si>
  <si>
    <t>TAUX_DECLASSEMENT</t>
  </si>
  <si>
    <t>date</t>
  </si>
  <si>
    <t>200g</t>
  </si>
  <si>
    <t>Ecart</t>
  </si>
  <si>
    <t>Taux réalisation</t>
  </si>
  <si>
    <t>270g</t>
  </si>
  <si>
    <t>350g</t>
  </si>
  <si>
    <t>Statut</t>
  </si>
  <si>
    <t>couleur</t>
  </si>
  <si>
    <t>arrow</t>
  </si>
  <si>
    <t>SATUT</t>
  </si>
  <si>
    <t>OBJECTIF</t>
  </si>
  <si>
    <t>ÉVOLUTION DU TAUX DE DÉCLASSEMENT (%)</t>
  </si>
  <si>
    <t>PIECES</t>
  </si>
  <si>
    <t>TAUX</t>
  </si>
  <si>
    <t>(Poids non conforme)</t>
  </si>
  <si>
    <t>FORMATS: 200g | 270g | 350g</t>
  </si>
  <si>
    <t>Écart vs objectif</t>
  </si>
  <si>
    <t>TAUX DECLASSEMENT</t>
  </si>
  <si>
    <t>TAUX REALISATION</t>
  </si>
  <si>
    <t>STATUT QUALITE</t>
  </si>
  <si>
    <t>8h00</t>
  </si>
  <si>
    <t>Objectif qualité atteint</t>
  </si>
  <si>
    <t>Taux de déclassement inférieur à l'objectif de 1,5%
 Poursuivre les efforts pour maintenir la performance et maintenir les pertes</t>
  </si>
  <si>
    <t>PILOTAGE QUOTIDIEN DES OBJECTIF DE PRODUCTION</t>
  </si>
  <si>
    <t>PRODUCTION</t>
  </si>
  <si>
    <t>DECLASSE (TRI)</t>
  </si>
  <si>
    <t>&lt;= 1,5%</t>
  </si>
  <si>
    <t xml:space="preserve">                 DECLASSES DU JOUR</t>
  </si>
  <si>
    <t xml:space="preserve">                 PRODUCTION TOTALE</t>
  </si>
  <si>
    <t xml:space="preserve">                 TAUX DECLASSEMENT</t>
  </si>
  <si>
    <t xml:space="preserve">                 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</si>
</sst>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+#\ ##0;\-#\ ##0"/>
    <numFmt numFmtId="170" formatCode="\+#.0\ ##0;\-#.0\ ##0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Segoe UI Semibold"/>
      <family val="2"/>
    </font>
    <font>
      <sz val="22"/>
      <color theme="1"/>
      <name val="Segoe UI Semibold"/>
      <family val="2"/>
    </font>
    <font>
      <sz val="18"/>
      <color theme="1"/>
      <name val="Segoe UI Semibold"/>
      <family val="2"/>
    </font>
    <font>
      <sz val="20"/>
      <color theme="1"/>
      <name val="Segoe UI Semibold"/>
      <family val="2"/>
    </font>
    <font>
      <sz val="28"/>
      <color theme="1"/>
      <name val="Segoe UI Semibold"/>
      <family val="2"/>
    </font>
    <font>
      <sz val="36"/>
      <color theme="1"/>
      <name val="Segoe UI Semibold"/>
      <family val="2"/>
    </font>
    <font>
      <b/>
      <sz val="28"/>
      <color theme="1"/>
      <name val="Segoe UI Semibold"/>
      <family val="2"/>
    </font>
    <font>
      <sz val="48"/>
      <color theme="1"/>
      <name val="Segoe UI Semibold"/>
      <family val="2"/>
    </font>
    <font>
      <sz val="72"/>
      <color theme="1"/>
      <name val="Segoe UI Semibold"/>
      <family val="2"/>
    </font>
    <font>
      <b/>
      <sz val="20"/>
      <color theme="1"/>
      <name val="Segoe UI Semibold"/>
      <family val="2"/>
    </font>
    <font>
      <b/>
      <sz val="22"/>
      <color theme="1"/>
      <name val="Segoe UI Semibold"/>
      <family val="2"/>
    </font>
    <font>
      <b/>
      <sz val="48"/>
      <color theme="1"/>
      <name val="Segoe UI Semibold"/>
      <family val="2"/>
    </font>
    <font>
      <b/>
      <sz val="32"/>
      <color theme="1"/>
      <name val="Segoe UI Semibold"/>
      <family val="2"/>
    </font>
    <font>
      <sz val="28"/>
      <color rgb="FFFF0000"/>
      <name val="Segoe UI Semibold"/>
      <family val="2"/>
    </font>
    <font>
      <sz val="28"/>
      <color rgb="FF00B050"/>
      <name val="Segoe UI Semibold"/>
      <family val="2"/>
    </font>
    <font>
      <sz val="28"/>
      <color rgb="FFFFC000"/>
      <name val="Segoe UI Semibold"/>
      <family val="2"/>
    </font>
    <font>
      <sz val="72"/>
      <color rgb="FF00B050"/>
      <name val="Segoe UI Semibold"/>
      <family val="2"/>
    </font>
    <font>
      <sz val="72"/>
      <color rgb="FFFF0000"/>
      <name val="Segoe UI Semibold"/>
      <family val="2"/>
    </font>
    <font>
      <sz val="72"/>
      <color theme="7"/>
      <name val="Segoe UI Semibold"/>
      <family val="2"/>
    </font>
    <font>
      <b/>
      <sz val="36"/>
      <color rgb="FFFF0000"/>
      <name val="Segoe UI Semibold"/>
      <family val="2"/>
    </font>
    <font>
      <b/>
      <sz val="36"/>
      <color rgb="FFFFC000"/>
      <name val="Segoe UI Semibold"/>
      <family val="2"/>
    </font>
    <font>
      <b/>
      <sz val="36"/>
      <color rgb="FF00B050"/>
      <name val="Segoe UI Semibold"/>
      <family val="2"/>
    </font>
    <font>
      <b/>
      <sz val="48"/>
      <color theme="0"/>
      <name val="Segoe UI Semibold"/>
      <family val="2"/>
    </font>
    <font>
      <sz val="11"/>
      <color theme="0"/>
      <name val="Segoe UI Semibold"/>
      <family val="2"/>
    </font>
    <font>
      <b/>
      <sz val="14"/>
      <color theme="0"/>
      <name val="Segoe UI Semibold"/>
      <family val="2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26"/>
      <color theme="0"/>
      <name val="Segoe UI Semibold"/>
      <family val="2"/>
    </font>
    <font>
      <b/>
      <sz val="20"/>
      <color theme="1"/>
      <name val="Calibri"/>
      <family val="2"/>
      <scheme val="minor"/>
    </font>
    <font>
      <b/>
      <sz val="24"/>
      <color rgb="FFFF0000"/>
      <name val="Segoe UI Semibold"/>
      <family val="2"/>
    </font>
    <font>
      <b/>
      <sz val="24"/>
      <color rgb="FFFFC000"/>
      <name val="Segoe UI Semibold"/>
      <family val="2"/>
    </font>
    <font>
      <b/>
      <sz val="24"/>
      <color rgb="FF00B050"/>
      <name val="Segoe UI Semibold"/>
      <family val="2"/>
    </font>
    <font>
      <b/>
      <sz val="24"/>
      <color theme="4" tint="-0.499984740745262"/>
      <name val="Segoe UI Semibold"/>
      <family val="2"/>
    </font>
    <font>
      <b/>
      <sz val="48"/>
      <color theme="4" tint="-0.499984740745262"/>
      <name val="Segoe UI Semibold"/>
      <family val="2"/>
    </font>
    <font>
      <b/>
      <sz val="18"/>
      <color theme="4" tint="-0.499984740745262"/>
      <name val="Segoe UI Semibold"/>
      <family val="2"/>
    </font>
    <font>
      <b/>
      <sz val="36"/>
      <color theme="0"/>
      <name val="Segoe UI Semibold"/>
      <family val="2"/>
    </font>
    <font>
      <b/>
      <sz val="22"/>
      <color rgb="FF002060"/>
      <name val="Segoe UI Semibold"/>
      <family val="2"/>
    </font>
    <font>
      <b/>
      <sz val="28"/>
      <color rgb="FF002060"/>
      <name val="Segoe UI Semibold"/>
      <family val="2"/>
    </font>
    <font>
      <b/>
      <sz val="36"/>
      <color rgb="FF002060"/>
      <name val="Segoe UI Semibold"/>
      <family val="2"/>
    </font>
    <font>
      <b/>
      <sz val="48"/>
      <color rgb="FF002060"/>
      <name val="Segoe UI Semibold"/>
      <family val="2"/>
    </font>
    <font>
      <b/>
      <sz val="11"/>
      <color rgb="FF002060"/>
      <name val="Segoe UI Semibold"/>
      <family val="2"/>
    </font>
    <font>
      <b/>
      <sz val="22"/>
      <color theme="4" tint="-0.499984740745262"/>
      <name val="Segoe UI Semibold"/>
      <family val="2"/>
    </font>
    <font>
      <b/>
      <sz val="26"/>
      <color rgb="FF002060"/>
      <name val="Segoe UI Semibold"/>
      <family val="2"/>
    </font>
    <font>
      <b/>
      <sz val="28"/>
      <color rgb="FF00B050"/>
      <name val="Segoe UI Semibold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E933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7030A0"/>
      </bottom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/>
      <bottom/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4.9989318521683403E-2"/>
      </right>
      <top/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9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0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6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14" fontId="0" fillId="0" borderId="1" xfId="0" applyNumberFormat="1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10" fontId="0" fillId="0" borderId="0" xfId="0" applyNumberFormat="1" applyAlignment="1">
      <alignment vertical="center" wrapText="1"/>
    </xf>
    <xf numFmtId="14" fontId="6" fillId="0" borderId="0" xfId="0" applyNumberFormat="1" applyFont="1"/>
    <xf numFmtId="164" fontId="6" fillId="0" borderId="0" xfId="1" applyNumberFormat="1" applyFont="1"/>
    <xf numFmtId="10" fontId="6" fillId="0" borderId="0" xfId="1" applyNumberFormat="1" applyFont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12" fillId="0" borderId="0" xfId="0" applyFont="1" applyBorder="1"/>
    <xf numFmtId="0" fontId="8" fillId="0" borderId="0" xfId="0" applyFont="1"/>
    <xf numFmtId="0" fontId="6" fillId="0" borderId="3" xfId="0" applyFont="1" applyBorder="1"/>
    <xf numFmtId="0" fontId="10" fillId="0" borderId="0" xfId="0" applyFont="1"/>
    <xf numFmtId="0" fontId="12" fillId="0" borderId="0" xfId="0" applyFont="1"/>
    <xf numFmtId="0" fontId="18" fillId="0" borderId="0" xfId="0" applyFont="1" applyBorder="1"/>
    <xf numFmtId="0" fontId="18" fillId="0" borderId="0" xfId="0" applyFont="1"/>
    <xf numFmtId="0" fontId="15" fillId="0" borderId="0" xfId="0" applyFont="1" applyBorder="1"/>
    <xf numFmtId="0" fontId="16" fillId="0" borderId="0" xfId="0" applyFont="1" applyBorder="1"/>
    <xf numFmtId="0" fontId="22" fillId="0" borderId="0" xfId="0" applyFont="1" applyBorder="1" applyAlignment="1">
      <alignment horizontal="center"/>
    </xf>
    <xf numFmtId="0" fontId="14" fillId="0" borderId="0" xfId="0" applyFont="1" applyBorder="1"/>
    <xf numFmtId="0" fontId="14" fillId="0" borderId="0" xfId="0" applyFont="1"/>
    <xf numFmtId="0" fontId="23" fillId="0" borderId="0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24" fillId="0" borderId="0" xfId="0" applyFont="1" applyBorder="1" applyAlignment="1">
      <alignment horizontal="center"/>
    </xf>
    <xf numFmtId="0" fontId="7" fillId="0" borderId="0" xfId="0" applyFont="1" applyBorder="1" applyAlignment="1">
      <alignment vertical="center"/>
    </xf>
    <xf numFmtId="0" fontId="16" fillId="0" borderId="5" xfId="0" applyFont="1" applyBorder="1"/>
    <xf numFmtId="0" fontId="8" fillId="0" borderId="0" xfId="0" applyFont="1" applyBorder="1" applyAlignment="1">
      <alignment horizontal="center" vertical="center"/>
    </xf>
    <xf numFmtId="0" fontId="12" fillId="0" borderId="12" xfId="0" applyFont="1" applyBorder="1"/>
    <xf numFmtId="0" fontId="12" fillId="0" borderId="13" xfId="0" applyFont="1" applyBorder="1"/>
    <xf numFmtId="0" fontId="6" fillId="0" borderId="12" xfId="0" applyFont="1" applyBorder="1"/>
    <xf numFmtId="0" fontId="6" fillId="0" borderId="13" xfId="0" applyFont="1" applyBorder="1"/>
    <xf numFmtId="0" fontId="10" fillId="0" borderId="13" xfId="0" applyFont="1" applyBorder="1"/>
    <xf numFmtId="0" fontId="8" fillId="0" borderId="12" xfId="0" applyFont="1" applyBorder="1"/>
    <xf numFmtId="0" fontId="8" fillId="0" borderId="13" xfId="0" applyFont="1" applyBorder="1"/>
    <xf numFmtId="0" fontId="14" fillId="0" borderId="13" xfId="0" applyFont="1" applyBorder="1"/>
    <xf numFmtId="0" fontId="18" fillId="0" borderId="12" xfId="0" applyFont="1" applyBorder="1"/>
    <xf numFmtId="0" fontId="28" fillId="0" borderId="0" xfId="0" applyFont="1" applyBorder="1"/>
    <xf numFmtId="0" fontId="28" fillId="0" borderId="0" xfId="0" applyFont="1"/>
    <xf numFmtId="0" fontId="12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32" fillId="6" borderId="0" xfId="0" applyFont="1" applyFill="1" applyBorder="1"/>
    <xf numFmtId="0" fontId="32" fillId="6" borderId="0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29" fillId="6" borderId="4" xfId="0" applyFont="1" applyFill="1" applyBorder="1" applyAlignment="1">
      <alignment horizontal="center" vertical="center"/>
    </xf>
    <xf numFmtId="0" fontId="30" fillId="6" borderId="4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12" fillId="0" borderId="20" xfId="0" applyFont="1" applyBorder="1"/>
    <xf numFmtId="0" fontId="12" fillId="0" borderId="21" xfId="0" applyFont="1" applyBorder="1"/>
    <xf numFmtId="0" fontId="6" fillId="0" borderId="20" xfId="0" applyFont="1" applyBorder="1"/>
    <xf numFmtId="0" fontId="6" fillId="0" borderId="21" xfId="0" applyFont="1" applyBorder="1"/>
    <xf numFmtId="0" fontId="10" fillId="0" borderId="21" xfId="0" applyFont="1" applyBorder="1"/>
    <xf numFmtId="0" fontId="8" fillId="0" borderId="20" xfId="0" applyFont="1" applyBorder="1"/>
    <xf numFmtId="0" fontId="8" fillId="0" borderId="21" xfId="0" applyFont="1" applyBorder="1"/>
    <xf numFmtId="0" fontId="14" fillId="0" borderId="21" xfId="0" applyFont="1" applyBorder="1"/>
    <xf numFmtId="0" fontId="18" fillId="0" borderId="20" xfId="0" applyFont="1" applyBorder="1"/>
    <xf numFmtId="0" fontId="12" fillId="0" borderId="28" xfId="0" applyFont="1" applyBorder="1"/>
    <xf numFmtId="0" fontId="12" fillId="0" borderId="29" xfId="0" applyFont="1" applyBorder="1"/>
    <xf numFmtId="0" fontId="6" fillId="0" borderId="28" xfId="0" applyFont="1" applyBorder="1"/>
    <xf numFmtId="0" fontId="6" fillId="0" borderId="29" xfId="0" applyFont="1" applyBorder="1"/>
    <xf numFmtId="0" fontId="10" fillId="0" borderId="29" xfId="0" applyFont="1" applyBorder="1"/>
    <xf numFmtId="0" fontId="8" fillId="0" borderId="28" xfId="0" applyFont="1" applyBorder="1"/>
    <xf numFmtId="0" fontId="8" fillId="0" borderId="29" xfId="0" applyFont="1" applyBorder="1"/>
    <xf numFmtId="0" fontId="14" fillId="0" borderId="29" xfId="0" applyFont="1" applyBorder="1"/>
    <xf numFmtId="3" fontId="13" fillId="0" borderId="0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3" fontId="39" fillId="0" borderId="0" xfId="0" applyNumberFormat="1" applyFont="1" applyBorder="1" applyAlignment="1">
      <alignment horizontal="center" vertical="center"/>
    </xf>
    <xf numFmtId="0" fontId="40" fillId="0" borderId="0" xfId="0" applyFont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41" fillId="6" borderId="4" xfId="0" applyFont="1" applyFill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0" fontId="42" fillId="0" borderId="0" xfId="0" applyFont="1" applyBorder="1" applyAlignment="1">
      <alignment horizontal="center" vertical="center"/>
    </xf>
    <xf numFmtId="0" fontId="43" fillId="0" borderId="0" xfId="0" applyFont="1" applyBorder="1" applyAlignment="1">
      <alignment vertical="center"/>
    </xf>
    <xf numFmtId="0" fontId="44" fillId="0" borderId="0" xfId="0" applyFont="1" applyBorder="1" applyAlignment="1">
      <alignment vertical="center"/>
    </xf>
    <xf numFmtId="0" fontId="45" fillId="0" borderId="0" xfId="0" applyFont="1" applyBorder="1" applyAlignment="1">
      <alignment vertical="center"/>
    </xf>
    <xf numFmtId="0" fontId="46" fillId="0" borderId="0" xfId="0" applyFont="1" applyBorder="1"/>
    <xf numFmtId="0" fontId="46" fillId="0" borderId="0" xfId="0" applyFont="1" applyBorder="1" applyAlignment="1">
      <alignment horizontal="center" vertical="center"/>
    </xf>
    <xf numFmtId="0" fontId="34" fillId="0" borderId="33" xfId="0" applyFont="1" applyBorder="1"/>
    <xf numFmtId="0" fontId="15" fillId="0" borderId="33" xfId="0" applyFont="1" applyBorder="1"/>
    <xf numFmtId="0" fontId="9" fillId="0" borderId="33" xfId="0" applyFont="1" applyBorder="1"/>
    <xf numFmtId="0" fontId="17" fillId="0" borderId="33" xfId="0" applyFont="1" applyBorder="1" applyAlignment="1">
      <alignment horizontal="center" vertical="center"/>
    </xf>
    <xf numFmtId="3" fontId="17" fillId="0" borderId="33" xfId="0" applyNumberFormat="1" applyFont="1" applyBorder="1" applyAlignment="1">
      <alignment horizontal="center" vertical="center"/>
    </xf>
    <xf numFmtId="10" fontId="17" fillId="0" borderId="33" xfId="1" applyNumberFormat="1" applyFont="1" applyBorder="1" applyAlignment="1">
      <alignment horizontal="center" vertical="center"/>
    </xf>
    <xf numFmtId="0" fontId="22" fillId="0" borderId="0" xfId="0" applyFont="1" applyBorder="1" applyAlignment="1">
      <alignment horizontal="center"/>
    </xf>
    <xf numFmtId="165" fontId="17" fillId="0" borderId="0" xfId="0" applyNumberFormat="1" applyFont="1" applyBorder="1" applyAlignment="1">
      <alignment horizontal="center"/>
    </xf>
    <xf numFmtId="0" fontId="36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0" fontId="28" fillId="5" borderId="17" xfId="0" applyFont="1" applyFill="1" applyBorder="1" applyAlignment="1">
      <alignment horizontal="center"/>
    </xf>
    <xf numFmtId="0" fontId="28" fillId="5" borderId="18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7" borderId="26" xfId="0" applyFont="1" applyFill="1" applyBorder="1" applyAlignment="1">
      <alignment horizontal="center"/>
    </xf>
    <xf numFmtId="0" fontId="28" fillId="7" borderId="25" xfId="0" applyFont="1" applyFill="1" applyBorder="1" applyAlignment="1">
      <alignment horizontal="center"/>
    </xf>
    <xf numFmtId="0" fontId="28" fillId="7" borderId="27" xfId="0" applyFont="1" applyFill="1" applyBorder="1" applyAlignment="1">
      <alignment horizontal="center"/>
    </xf>
    <xf numFmtId="0" fontId="28" fillId="8" borderId="10" xfId="0" applyFont="1" applyFill="1" applyBorder="1" applyAlignment="1">
      <alignment horizontal="center"/>
    </xf>
    <xf numFmtId="0" fontId="28" fillId="8" borderId="9" xfId="0" applyFont="1" applyFill="1" applyBorder="1" applyAlignment="1">
      <alignment horizontal="center"/>
    </xf>
    <xf numFmtId="0" fontId="28" fillId="8" borderId="11" xfId="0" applyFont="1" applyFill="1" applyBorder="1" applyAlignment="1">
      <alignment horizontal="center"/>
    </xf>
    <xf numFmtId="0" fontId="3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34" xfId="0" applyFont="1" applyBorder="1"/>
    <xf numFmtId="0" fontId="33" fillId="6" borderId="35" xfId="0" applyFont="1" applyFill="1" applyBorder="1"/>
    <xf numFmtId="0" fontId="32" fillId="6" borderId="35" xfId="0" applyFont="1" applyFill="1" applyBorder="1"/>
    <xf numFmtId="0" fontId="32" fillId="6" borderId="35" xfId="0" applyFont="1" applyFill="1" applyBorder="1" applyAlignment="1">
      <alignment horizontal="center" vertical="center"/>
    </xf>
    <xf numFmtId="0" fontId="6" fillId="6" borderId="36" xfId="0" applyFont="1" applyFill="1" applyBorder="1"/>
    <xf numFmtId="0" fontId="6" fillId="6" borderId="34" xfId="0" applyFont="1" applyFill="1" applyBorder="1"/>
    <xf numFmtId="0" fontId="15" fillId="0" borderId="37" xfId="0" applyFont="1" applyBorder="1"/>
    <xf numFmtId="0" fontId="9" fillId="0" borderId="37" xfId="0" applyFont="1" applyBorder="1"/>
    <xf numFmtId="0" fontId="15" fillId="0" borderId="37" xfId="0" applyFont="1" applyBorder="1" applyAlignment="1">
      <alignment horizontal="center" vertical="center"/>
    </xf>
    <xf numFmtId="0" fontId="9" fillId="0" borderId="38" xfId="0" applyFont="1" applyBorder="1"/>
    <xf numFmtId="0" fontId="6" fillId="11" borderId="4" xfId="0" applyFont="1" applyFill="1" applyBorder="1"/>
    <xf numFmtId="0" fontId="6" fillId="11" borderId="8" xfId="0" applyFont="1" applyFill="1" applyBorder="1"/>
    <xf numFmtId="0" fontId="47" fillId="0" borderId="0" xfId="0" applyFont="1" applyBorder="1" applyAlignment="1">
      <alignment vertical="center"/>
    </xf>
    <xf numFmtId="0" fontId="8" fillId="11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center" vertical="center"/>
    </xf>
    <xf numFmtId="0" fontId="48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/>
    </xf>
    <xf numFmtId="165" fontId="17" fillId="0" borderId="0" xfId="0" applyNumberFormat="1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49" fillId="0" borderId="0" xfId="0" applyFont="1" applyBorder="1" applyAlignment="1">
      <alignment horizontal="center" vertical="top"/>
    </xf>
    <xf numFmtId="10" fontId="13" fillId="0" borderId="0" xfId="0" applyNumberFormat="1" applyFont="1" applyBorder="1" applyAlignment="1">
      <alignment horizontal="center" vertical="center"/>
    </xf>
    <xf numFmtId="0" fontId="8" fillId="11" borderId="4" xfId="0" applyFont="1" applyFill="1" applyBorder="1" applyAlignment="1">
      <alignment horizontal="left" vertical="center" wrapText="1"/>
    </xf>
    <xf numFmtId="0" fontId="49" fillId="0" borderId="20" xfId="0" applyFont="1" applyBorder="1" applyAlignment="1">
      <alignment horizontal="center" vertical="top"/>
    </xf>
    <xf numFmtId="0" fontId="37" fillId="0" borderId="20" xfId="0" applyFont="1" applyBorder="1" applyAlignment="1">
      <alignment horizontal="center" vertical="center"/>
    </xf>
    <xf numFmtId="9" fontId="10" fillId="0" borderId="0" xfId="1" applyFont="1" applyBorder="1"/>
    <xf numFmtId="0" fontId="22" fillId="0" borderId="20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8" fillId="0" borderId="21" xfId="0" applyFont="1" applyBorder="1" applyAlignment="1">
      <alignment horizontal="left"/>
    </xf>
    <xf numFmtId="0" fontId="12" fillId="0" borderId="28" xfId="0" applyFont="1" applyBorder="1" applyAlignment="1">
      <alignment horizontal="center" vertical="top"/>
    </xf>
    <xf numFmtId="0" fontId="36" fillId="0" borderId="28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/>
    </xf>
    <xf numFmtId="0" fontId="24" fillId="0" borderId="28" xfId="0" applyFont="1" applyBorder="1" applyAlignment="1">
      <alignment horizontal="center"/>
    </xf>
    <xf numFmtId="0" fontId="8" fillId="0" borderId="28" xfId="0" applyFont="1" applyBorder="1" applyAlignment="1">
      <alignment horizontal="center"/>
    </xf>
    <xf numFmtId="165" fontId="17" fillId="0" borderId="28" xfId="0" applyNumberFormat="1" applyFont="1" applyBorder="1" applyAlignment="1">
      <alignment horizontal="center"/>
    </xf>
    <xf numFmtId="0" fontId="8" fillId="0" borderId="29" xfId="0" applyFont="1" applyBorder="1" applyAlignment="1">
      <alignment horizontal="left"/>
    </xf>
    <xf numFmtId="0" fontId="27" fillId="0" borderId="20" xfId="0" applyFont="1" applyBorder="1" applyAlignment="1"/>
    <xf numFmtId="0" fontId="26" fillId="0" borderId="28" xfId="0" applyFont="1" applyBorder="1" applyAlignment="1"/>
    <xf numFmtId="0" fontId="9" fillId="0" borderId="0" xfId="0" applyFont="1" applyBorder="1" applyAlignment="1">
      <alignment vertical="center"/>
    </xf>
    <xf numFmtId="0" fontId="9" fillId="4" borderId="22" xfId="0" applyFont="1" applyFill="1" applyBorder="1" applyAlignment="1">
      <alignment vertical="center"/>
    </xf>
    <xf numFmtId="0" fontId="9" fillId="4" borderId="23" xfId="0" applyFont="1" applyFill="1" applyBorder="1" applyAlignment="1">
      <alignment vertical="center"/>
    </xf>
    <xf numFmtId="10" fontId="9" fillId="4" borderId="23" xfId="0" applyNumberFormat="1" applyFont="1" applyFill="1" applyBorder="1" applyAlignment="1">
      <alignment vertical="center"/>
    </xf>
    <xf numFmtId="10" fontId="9" fillId="4" borderId="24" xfId="0" applyNumberFormat="1" applyFont="1" applyFill="1" applyBorder="1" applyAlignment="1">
      <alignment vertical="center"/>
    </xf>
    <xf numFmtId="0" fontId="9" fillId="9" borderId="30" xfId="0" applyFont="1" applyFill="1" applyBorder="1" applyAlignment="1">
      <alignment vertical="center"/>
    </xf>
    <xf numFmtId="0" fontId="9" fillId="9" borderId="31" xfId="0" applyFont="1" applyFill="1" applyBorder="1" applyAlignment="1">
      <alignment vertical="center"/>
    </xf>
    <xf numFmtId="10" fontId="9" fillId="9" borderId="31" xfId="0" applyNumberFormat="1" applyFont="1" applyFill="1" applyBorder="1" applyAlignment="1">
      <alignment vertical="center"/>
    </xf>
    <xf numFmtId="10" fontId="9" fillId="9" borderId="32" xfId="0" applyNumberFormat="1" applyFont="1" applyFill="1" applyBorder="1" applyAlignment="1">
      <alignment vertical="center"/>
    </xf>
    <xf numFmtId="0" fontId="9" fillId="0" borderId="0" xfId="0" applyFont="1" applyAlignment="1">
      <alignment vertical="center"/>
    </xf>
    <xf numFmtId="9" fontId="10" fillId="0" borderId="0" xfId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170" fontId="17" fillId="0" borderId="0" xfId="0" applyNumberFormat="1" applyFont="1" applyBorder="1" applyAlignment="1">
      <alignment horizontal="left"/>
    </xf>
    <xf numFmtId="0" fontId="12" fillId="0" borderId="12" xfId="0" applyFont="1" applyBorder="1" applyAlignment="1">
      <alignment horizontal="center" vertical="top"/>
    </xf>
    <xf numFmtId="0" fontId="35" fillId="0" borderId="12" xfId="0" applyFont="1" applyBorder="1" applyAlignment="1">
      <alignment horizontal="center" vertical="center"/>
    </xf>
    <xf numFmtId="0" fontId="25" fillId="0" borderId="12" xfId="0" applyFont="1" applyBorder="1" applyAlignment="1"/>
    <xf numFmtId="0" fontId="23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left"/>
    </xf>
    <xf numFmtId="170" fontId="17" fillId="0" borderId="13" xfId="0" applyNumberFormat="1" applyFont="1" applyBorder="1" applyAlignment="1">
      <alignment horizontal="left"/>
    </xf>
    <xf numFmtId="9" fontId="9" fillId="4" borderId="23" xfId="0" applyNumberFormat="1" applyFont="1" applyFill="1" applyBorder="1" applyAlignment="1">
      <alignment horizontal="left" vertical="center"/>
    </xf>
    <xf numFmtId="9" fontId="9" fillId="9" borderId="31" xfId="0" applyNumberFormat="1" applyFont="1" applyFill="1" applyBorder="1" applyAlignment="1">
      <alignment horizontal="left" vertical="center"/>
    </xf>
    <xf numFmtId="0" fontId="9" fillId="10" borderId="14" xfId="0" applyFont="1" applyFill="1" applyBorder="1" applyAlignment="1">
      <alignment vertical="center"/>
    </xf>
    <xf numFmtId="0" fontId="9" fillId="10" borderId="15" xfId="0" applyFont="1" applyFill="1" applyBorder="1" applyAlignment="1">
      <alignment vertical="center"/>
    </xf>
    <xf numFmtId="9" fontId="9" fillId="10" borderId="15" xfId="0" applyNumberFormat="1" applyFont="1" applyFill="1" applyBorder="1" applyAlignment="1">
      <alignment vertical="center"/>
    </xf>
    <xf numFmtId="10" fontId="9" fillId="10" borderId="15" xfId="0" applyNumberFormat="1" applyFont="1" applyFill="1" applyBorder="1" applyAlignment="1">
      <alignment vertical="center"/>
    </xf>
    <xf numFmtId="10" fontId="9" fillId="10" borderId="16" xfId="0" applyNumberFormat="1" applyFont="1" applyFill="1" applyBorder="1" applyAlignment="1">
      <alignment vertical="center"/>
    </xf>
  </cellXfs>
  <cellStyles count="2">
    <cellStyle name="Normal" xfId="0" builtinId="0"/>
    <cellStyle name="Pourcentage" xfId="1" builtinId="5"/>
  </cellStyles>
  <dxfs count="11"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EC8EE"/>
      <color rgb="FF1E933E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068491792633572E-2"/>
          <c:y val="3.8803379397712855E-2"/>
          <c:w val="0.81106131138523596"/>
          <c:h val="0.56190903352270838"/>
        </c:manualLayout>
      </c:layout>
      <c:lineChart>
        <c:grouping val="stacked"/>
        <c:varyColors val="0"/>
        <c:ser>
          <c:idx val="0"/>
          <c:order val="0"/>
          <c:tx>
            <c:strRef>
              <c:f>'05_DASHBOARD_JOUR'!$AG$23</c:f>
              <c:strCache>
                <c:ptCount val="1"/>
                <c:pt idx="0">
                  <c:v>OBJECTIF</c:v>
                </c:pt>
              </c:strCache>
            </c:strRef>
          </c:tx>
          <c:spPr>
            <a:ln w="3810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'05_DASHBOARD_JOUR'!$AC$24:$AC$30</c:f>
              <c:numCache>
                <c:formatCode>m/d/yyyy</c:formatCode>
                <c:ptCount val="7"/>
                <c:pt idx="0">
                  <c:v>46187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46192</c:v>
                </c:pt>
                <c:pt idx="6">
                  <c:v>46193</c:v>
                </c:pt>
              </c:numCache>
            </c:numRef>
          </c:cat>
          <c:val>
            <c:numRef>
              <c:f>'05_DASHBOARD_JOUR'!$AG$24:$AG$30</c:f>
              <c:numCache>
                <c:formatCode>0.0%</c:formatCode>
                <c:ptCount val="7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378-449F-8774-25B3387EE123}"/>
            </c:ext>
          </c:extLst>
        </c:ser>
        <c:ser>
          <c:idx val="1"/>
          <c:order val="1"/>
          <c:tx>
            <c:strRef>
              <c:f>'05_DASHBOARD_JOUR'!$AF$23</c:f>
              <c:strCache>
                <c:ptCount val="1"/>
                <c:pt idx="0">
                  <c:v>TAUX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'05_DASHBOARD_JOUR'!$AC$24:$AC$30</c:f>
              <c:numCache>
                <c:formatCode>m/d/yyyy</c:formatCode>
                <c:ptCount val="7"/>
                <c:pt idx="0">
                  <c:v>46187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46192</c:v>
                </c:pt>
                <c:pt idx="6">
                  <c:v>46193</c:v>
                </c:pt>
              </c:numCache>
            </c:numRef>
          </c:cat>
          <c:val>
            <c:numRef>
              <c:f>'05_DASHBOARD_JOUR'!$AF$24:$AF$30</c:f>
              <c:numCache>
                <c:formatCode>0.00%</c:formatCode>
                <c:ptCount val="7"/>
                <c:pt idx="0">
                  <c:v>1.7558919931325112E-3</c:v>
                </c:pt>
                <c:pt idx="1">
                  <c:v>4.1980059471750921E-3</c:v>
                </c:pt>
                <c:pt idx="2">
                  <c:v>2.6768919114455217E-3</c:v>
                </c:pt>
                <c:pt idx="3">
                  <c:v>2.720908730682869E-3</c:v>
                </c:pt>
                <c:pt idx="4">
                  <c:v>2.8661058035077715E-3</c:v>
                </c:pt>
                <c:pt idx="5">
                  <c:v>1.2254804440377193E-3</c:v>
                </c:pt>
                <c:pt idx="6">
                  <c:v>2.4306420281914628E-3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378-449F-8774-25B3387E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689023"/>
        <c:axId val="84659231"/>
      </c:lineChart>
      <c:dateAx>
        <c:axId val="203068902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659231"/>
        <c:crosses val="autoZero"/>
        <c:auto val="1"/>
        <c:lblOffset val="100"/>
        <c:baseTimeUnit val="days"/>
      </c:dateAx>
      <c:valAx>
        <c:axId val="8465923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  <a:alpha val="2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0689023"/>
        <c:crosses val="autoZero"/>
        <c:crossBetween val="between"/>
      </c:valAx>
      <c:spPr>
        <a:noFill/>
        <a:ln w="3175">
          <a:noFill/>
          <a:prstDash val="sysDash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svg"/><Relationship Id="rId18" Type="http://schemas.openxmlformats.org/officeDocument/2006/relationships/image" Target="../media/image17.png"/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12" Type="http://schemas.openxmlformats.org/officeDocument/2006/relationships/image" Target="../media/image11.png"/><Relationship Id="rId17" Type="http://schemas.openxmlformats.org/officeDocument/2006/relationships/image" Target="../media/image16.sv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5" Type="http://schemas.openxmlformats.org/officeDocument/2006/relationships/image" Target="../media/image4.svg"/><Relationship Id="rId15" Type="http://schemas.openxmlformats.org/officeDocument/2006/relationships/image" Target="../media/image14.svg"/><Relationship Id="rId10" Type="http://schemas.openxmlformats.org/officeDocument/2006/relationships/image" Target="../media/image9.png"/><Relationship Id="rId19" Type="http://schemas.openxmlformats.org/officeDocument/2006/relationships/image" Target="../media/image18.svg"/><Relationship Id="rId4" Type="http://schemas.openxmlformats.org/officeDocument/2006/relationships/image" Target="../media/image3.png"/><Relationship Id="rId9" Type="http://schemas.openxmlformats.org/officeDocument/2006/relationships/image" Target="../media/image8.sv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685800</xdr:colOff>
      <xdr:row>7</xdr:row>
      <xdr:rowOff>361950</xdr:rowOff>
    </xdr:from>
    <xdr:to>
      <xdr:col>5</xdr:col>
      <xdr:colOff>685800</xdr:colOff>
      <xdr:row>20</xdr:row>
      <xdr:rowOff>254000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 flipH="1">
          <a:off x="5283200" y="4425950"/>
          <a:ext cx="0" cy="802005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726440</xdr:colOff>
      <xdr:row>7</xdr:row>
      <xdr:rowOff>407670</xdr:rowOff>
    </xdr:from>
    <xdr:to>
      <xdr:col>13</xdr:col>
      <xdr:colOff>726440</xdr:colOff>
      <xdr:row>19</xdr:row>
      <xdr:rowOff>152400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15788640" y="4471670"/>
          <a:ext cx="0" cy="766953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640080</xdr:colOff>
      <xdr:row>7</xdr:row>
      <xdr:rowOff>487680</xdr:rowOff>
    </xdr:from>
    <xdr:to>
      <xdr:col>21</xdr:col>
      <xdr:colOff>640080</xdr:colOff>
      <xdr:row>19</xdr:row>
      <xdr:rowOff>213360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25405080" y="4602480"/>
          <a:ext cx="0" cy="768858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25</xdr:row>
      <xdr:rowOff>0</xdr:rowOff>
    </xdr:from>
    <xdr:to>
      <xdr:col>24</xdr:col>
      <xdr:colOff>1168400</xdr:colOff>
      <xdr:row>34</xdr:row>
      <xdr:rowOff>28222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1000760</xdr:colOff>
      <xdr:row>12</xdr:row>
      <xdr:rowOff>660400</xdr:rowOff>
    </xdr:from>
    <xdr:to>
      <xdr:col>8</xdr:col>
      <xdr:colOff>104560</xdr:colOff>
      <xdr:row>12</xdr:row>
      <xdr:rowOff>660400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 flipV="1">
          <a:off x="5013960" y="6172200"/>
          <a:ext cx="273600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1036320</xdr:colOff>
      <xdr:row>12</xdr:row>
      <xdr:rowOff>736600</xdr:rowOff>
    </xdr:from>
    <xdr:to>
      <xdr:col>16</xdr:col>
      <xdr:colOff>546520</xdr:colOff>
      <xdr:row>12</xdr:row>
      <xdr:rowOff>736600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>
          <a:off x="13304520" y="6248400"/>
          <a:ext cx="273600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782320</xdr:colOff>
      <xdr:row>12</xdr:row>
      <xdr:rowOff>736600</xdr:rowOff>
    </xdr:from>
    <xdr:to>
      <xdr:col>24</xdr:col>
      <xdr:colOff>775120</xdr:colOff>
      <xdr:row>12</xdr:row>
      <xdr:rowOff>736600</xdr:rowOff>
    </xdr:to>
    <xdr:cxnSp macro="">
      <xdr:nvCxnSpPr>
        <xdr:cNvPr id="22" name="Connecteur droit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21203920" y="6248400"/>
          <a:ext cx="273600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228600</xdr:colOff>
      <xdr:row>1</xdr:row>
      <xdr:rowOff>342898</xdr:rowOff>
    </xdr:from>
    <xdr:to>
      <xdr:col>4</xdr:col>
      <xdr:colOff>171678</xdr:colOff>
      <xdr:row>4</xdr:row>
      <xdr:rowOff>419099</xdr:rowOff>
    </xdr:to>
    <xdr:pic>
      <xdr:nvPicPr>
        <xdr:cNvPr id="3" name="Graphique 2" descr="Usine">
          <a:extLst>
            <a:ext uri="{FF2B5EF4-FFF2-40B4-BE49-F238E27FC236}">
              <a16:creationId xmlns:a16="http://schemas.microsoft.com/office/drawing/2014/main" id="{11E7F30D-2682-41C5-9776-B4AF1CA2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571500" y="571498"/>
          <a:ext cx="2190978" cy="220980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32</xdr:row>
      <xdr:rowOff>19756</xdr:rowOff>
    </xdr:from>
    <xdr:to>
      <xdr:col>3</xdr:col>
      <xdr:colOff>12700</xdr:colOff>
      <xdr:row>33</xdr:row>
      <xdr:rowOff>59267</xdr:rowOff>
    </xdr:to>
    <xdr:pic>
      <xdr:nvPicPr>
        <xdr:cNvPr id="8" name="Graphique 7" descr="Mille">
          <a:extLst>
            <a:ext uri="{FF2B5EF4-FFF2-40B4-BE49-F238E27FC236}">
              <a16:creationId xmlns:a16="http://schemas.microsoft.com/office/drawing/2014/main" id="{13843B5C-F323-4C96-B9FE-0485D9863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79400" y="18434756"/>
          <a:ext cx="901700" cy="903111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28</xdr:row>
      <xdr:rowOff>22578</xdr:rowOff>
    </xdr:from>
    <xdr:to>
      <xdr:col>3</xdr:col>
      <xdr:colOff>38100</xdr:colOff>
      <xdr:row>29</xdr:row>
      <xdr:rowOff>62089</xdr:rowOff>
    </xdr:to>
    <xdr:pic>
      <xdr:nvPicPr>
        <xdr:cNvPr id="12" name="Graphique 11" descr="Graphique à barres avec tendance à la hausse">
          <a:extLst>
            <a:ext uri="{FF2B5EF4-FFF2-40B4-BE49-F238E27FC236}">
              <a16:creationId xmlns:a16="http://schemas.microsoft.com/office/drawing/2014/main" id="{5F513E37-01C5-41A0-947F-581FF7308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04800" y="16024578"/>
          <a:ext cx="901700" cy="90311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25</xdr:row>
      <xdr:rowOff>252023</xdr:rowOff>
    </xdr:from>
    <xdr:to>
      <xdr:col>3</xdr:col>
      <xdr:colOff>12700</xdr:colOff>
      <xdr:row>26</xdr:row>
      <xdr:rowOff>782599</xdr:rowOff>
    </xdr:to>
    <xdr:pic>
      <xdr:nvPicPr>
        <xdr:cNvPr id="16" name="Graphique 15" descr="Statistiques (droite à gauche)">
          <a:extLst>
            <a:ext uri="{FF2B5EF4-FFF2-40B4-BE49-F238E27FC236}">
              <a16:creationId xmlns:a16="http://schemas.microsoft.com/office/drawing/2014/main" id="{9CF07501-A5FE-4DBA-8B66-95A79C62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79400" y="14780823"/>
          <a:ext cx="901700" cy="911576"/>
        </a:xfrm>
        <a:prstGeom prst="rect">
          <a:avLst/>
        </a:prstGeom>
      </xdr:spPr>
    </xdr:pic>
    <xdr:clientData/>
  </xdr:twoCellAnchor>
  <xdr:twoCellAnchor editAs="oneCell">
    <xdr:from>
      <xdr:col>11</xdr:col>
      <xdr:colOff>167778</xdr:colOff>
      <xdr:row>36</xdr:row>
      <xdr:rowOff>252444</xdr:rowOff>
    </xdr:from>
    <xdr:to>
      <xdr:col>11</xdr:col>
      <xdr:colOff>1082178</xdr:colOff>
      <xdr:row>37</xdr:row>
      <xdr:rowOff>914400</xdr:rowOff>
    </xdr:to>
    <xdr:pic>
      <xdr:nvPicPr>
        <xdr:cNvPr id="20" name="Graphique 19" descr="Informations">
          <a:extLst>
            <a:ext uri="{FF2B5EF4-FFF2-40B4-BE49-F238E27FC236}">
              <a16:creationId xmlns:a16="http://schemas.microsoft.com/office/drawing/2014/main" id="{E52C1437-8E67-4857-B6E8-906D5026E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948667" y="18117111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20</xdr:col>
      <xdr:colOff>366890</xdr:colOff>
      <xdr:row>1</xdr:row>
      <xdr:rowOff>225776</xdr:rowOff>
    </xdr:from>
    <xdr:to>
      <xdr:col>21</xdr:col>
      <xdr:colOff>125590</xdr:colOff>
      <xdr:row>3</xdr:row>
      <xdr:rowOff>479777</xdr:rowOff>
    </xdr:to>
    <xdr:pic>
      <xdr:nvPicPr>
        <xdr:cNvPr id="24" name="Graphique 23" descr="Calendrier quotidien">
          <a:extLst>
            <a:ext uri="{FF2B5EF4-FFF2-40B4-BE49-F238E27FC236}">
              <a16:creationId xmlns:a16="http://schemas.microsoft.com/office/drawing/2014/main" id="{1B16E996-1A6C-4B51-AD4A-ED9620C59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3455490" y="454376"/>
          <a:ext cx="1816100" cy="166370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19755</xdr:rowOff>
    </xdr:from>
    <xdr:to>
      <xdr:col>3</xdr:col>
      <xdr:colOff>114300</xdr:colOff>
      <xdr:row>31</xdr:row>
      <xdr:rowOff>59267</xdr:rowOff>
    </xdr:to>
    <xdr:pic>
      <xdr:nvPicPr>
        <xdr:cNvPr id="26" name="Graphique 25" descr="Tendance à la baisse">
          <a:extLst>
            <a:ext uri="{FF2B5EF4-FFF2-40B4-BE49-F238E27FC236}">
              <a16:creationId xmlns:a16="http://schemas.microsoft.com/office/drawing/2014/main" id="{2333DCD0-9E2C-436D-9510-AE51E9FB1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81000" y="17240955"/>
          <a:ext cx="901700" cy="903112"/>
        </a:xfrm>
        <a:prstGeom prst="rect">
          <a:avLst/>
        </a:prstGeom>
      </xdr:spPr>
    </xdr:pic>
    <xdr:clientData/>
  </xdr:twoCellAnchor>
  <xdr:twoCellAnchor editAs="oneCell">
    <xdr:from>
      <xdr:col>21</xdr:col>
      <xdr:colOff>770890</xdr:colOff>
      <xdr:row>37</xdr:row>
      <xdr:rowOff>121779</xdr:rowOff>
    </xdr:from>
    <xdr:to>
      <xdr:col>22</xdr:col>
      <xdr:colOff>764823</xdr:colOff>
      <xdr:row>37</xdr:row>
      <xdr:rowOff>931334</xdr:rowOff>
    </xdr:to>
    <xdr:pic>
      <xdr:nvPicPr>
        <xdr:cNvPr id="30" name="Graphique 29" descr="Trophée">
          <a:extLst>
            <a:ext uri="{FF2B5EF4-FFF2-40B4-BE49-F238E27FC236}">
              <a16:creationId xmlns:a16="http://schemas.microsoft.com/office/drawing/2014/main" id="{E828358C-45DA-4F48-857B-CA50BE780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0865112" y="17958223"/>
          <a:ext cx="809555" cy="809555"/>
        </a:xfrm>
        <a:prstGeom prst="rect">
          <a:avLst/>
        </a:prstGeom>
      </xdr:spPr>
    </xdr:pic>
    <xdr:clientData/>
  </xdr:twoCellAnchor>
  <xdr:twoCellAnchor editAs="oneCell">
    <xdr:from>
      <xdr:col>6</xdr:col>
      <xdr:colOff>355600</xdr:colOff>
      <xdr:row>37</xdr:row>
      <xdr:rowOff>239889</xdr:rowOff>
    </xdr:from>
    <xdr:to>
      <xdr:col>6</xdr:col>
      <xdr:colOff>1030111</xdr:colOff>
      <xdr:row>37</xdr:row>
      <xdr:rowOff>914400</xdr:rowOff>
    </xdr:to>
    <xdr:pic>
      <xdr:nvPicPr>
        <xdr:cNvPr id="32" name="Graphique 31" descr="Coche">
          <a:extLst>
            <a:ext uri="{FF2B5EF4-FFF2-40B4-BE49-F238E27FC236}">
              <a16:creationId xmlns:a16="http://schemas.microsoft.com/office/drawing/2014/main" id="{45F7068D-8B55-4F81-AEC6-831F9C124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800600" y="18045289"/>
          <a:ext cx="674511" cy="674511"/>
        </a:xfrm>
        <a:prstGeom prst="rect">
          <a:avLst/>
        </a:prstGeom>
      </xdr:spPr>
    </xdr:pic>
    <xdr:clientData/>
  </xdr:twoCellAnchor>
  <xdr:twoCellAnchor>
    <xdr:from>
      <xdr:col>22</xdr:col>
      <xdr:colOff>1036320</xdr:colOff>
      <xdr:row>12</xdr:row>
      <xdr:rowOff>736600</xdr:rowOff>
    </xdr:from>
    <xdr:to>
      <xdr:col>24</xdr:col>
      <xdr:colOff>546520</xdr:colOff>
      <xdr:row>12</xdr:row>
      <xdr:rowOff>736600</xdr:rowOff>
    </xdr:to>
    <xdr:cxnSp macro="">
      <xdr:nvCxnSpPr>
        <xdr:cNvPr id="35" name="Connecteur droit 34">
          <a:extLst>
            <a:ext uri="{FF2B5EF4-FFF2-40B4-BE49-F238E27FC236}">
              <a16:creationId xmlns:a16="http://schemas.microsoft.com/office/drawing/2014/main" id="{A895B211-19B1-45B9-AA20-09EE12197EF9}"/>
            </a:ext>
          </a:extLst>
        </xdr:cNvPr>
        <xdr:cNvCxnSpPr/>
      </xdr:nvCxnSpPr>
      <xdr:spPr>
        <a:xfrm>
          <a:off x="17647920" y="7708900"/>
          <a:ext cx="272965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9BAC2-0E18-415F-8666-72E7B4FDADF6}" name="T_HISTORIQUE" displayName="T_HISTORIQUE" ref="A1:I22" totalsRowShown="0" headerRowDxfId="10" dataDxfId="9">
  <autoFilter ref="A1:I22" xr:uid="{32BE312E-898B-45B2-8004-6C1E73491403}"/>
  <tableColumns count="9">
    <tableColumn id="1" xr3:uid="{CE6A0F34-42D2-478A-BA3D-F28849BDFB93}" name="DATE" dataDxfId="8"/>
    <tableColumn id="2" xr3:uid="{D5C7B792-F16F-457B-A674-E56F9EDD8C1C}" name="FORMAT" dataDxfId="7"/>
    <tableColumn id="3" xr3:uid="{9BB73822-4EE9-45E9-9196-F7C91C16FA41}" name="OBJECTIF_JOUR" dataDxfId="6"/>
    <tableColumn id="4" xr3:uid="{EF306DB6-6897-439A-8E84-A3FC01ADDB6C}" name="REALISE" dataDxfId="5"/>
    <tableColumn id="5" xr3:uid="{20A3C998-DA37-46A4-BB0F-6F4D04080E89}" name="DECLASSES" dataDxfId="4"/>
    <tableColumn id="6" xr3:uid="{6157FD08-7EF3-4FB7-82B8-D5EBFE3588D7}" name="COMMENTAIRE" dataDxfId="3"/>
    <tableColumn id="7" xr3:uid="{2B315B01-FDF9-44B1-8AE6-6A275F99E0B3}" name="ECART" dataDxfId="2">
      <calculatedColumnFormula>T_HISTORIQUE[[#This Row],[REALISE]]-T_HISTORIQUE[[#This Row],[OBJECTIF_JOUR]]</calculatedColumnFormula>
    </tableColumn>
    <tableColumn id="8" xr3:uid="{5448CDA4-42A3-4119-8A65-13D9AB8B8C5A}" name="TAUX_REALISATION" dataDxfId="1">
      <calculatedColumnFormula>IFERROR(T_HISTORIQUE[[#This Row],[REALISE]]/T_HISTORIQUE[[#This Row],[OBJECTIF_JOUR]],0)</calculatedColumnFormula>
    </tableColumn>
    <tableColumn id="9" xr3:uid="{82D751B5-2256-4DB6-B0A0-B0BA78101764}" name="TAUX_DECLASSEMENT" dataDxfId="0">
      <calculatedColumnFormula>IFERROR(T_HISTORIQUE[[#This Row],[DECLASSES]]/T_HISTORIQUE[[#This Row],[REALISE]],0)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CB65-71DC-45D1-9A5A-6940A0EE444C}">
  <dimension ref="A1:D34"/>
  <sheetViews>
    <sheetView workbookViewId="0">
      <selection activeCell="E12" sqref="E12"/>
    </sheetView>
  </sheetViews>
  <sheetFormatPr baseColWidth="10" defaultRowHeight="14.4" x14ac:dyDescent="0.3"/>
  <cols>
    <col min="1" max="1" width="13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9" spans="1:2" ht="15.6" x14ac:dyDescent="0.3">
      <c r="A9" s="3" t="s">
        <v>8</v>
      </c>
    </row>
    <row r="11" spans="1:2" ht="28.8" x14ac:dyDescent="0.3">
      <c r="A11" s="1" t="s">
        <v>1</v>
      </c>
      <c r="B11" s="1" t="s">
        <v>9</v>
      </c>
    </row>
    <row r="12" spans="1:2" x14ac:dyDescent="0.3">
      <c r="A12" s="2" t="s">
        <v>3</v>
      </c>
      <c r="B12" s="2">
        <v>14000</v>
      </c>
    </row>
    <row r="13" spans="1:2" x14ac:dyDescent="0.3">
      <c r="A13" s="2" t="s">
        <v>5</v>
      </c>
      <c r="B13" s="2">
        <v>10000</v>
      </c>
    </row>
    <row r="14" spans="1:2" x14ac:dyDescent="0.3">
      <c r="A14" s="2" t="s">
        <v>7</v>
      </c>
      <c r="B14" s="2">
        <v>8000</v>
      </c>
    </row>
    <row r="19" spans="1:4" ht="15.6" x14ac:dyDescent="0.3">
      <c r="A19" s="3" t="s">
        <v>10</v>
      </c>
    </row>
    <row r="21" spans="1:4" x14ac:dyDescent="0.3">
      <c r="A21" s="1" t="s">
        <v>11</v>
      </c>
      <c r="B21" s="1" t="s">
        <v>12</v>
      </c>
      <c r="C21" s="1" t="s">
        <v>13</v>
      </c>
      <c r="D21" s="1" t="s">
        <v>14</v>
      </c>
    </row>
    <row r="22" spans="1:4" x14ac:dyDescent="0.3">
      <c r="A22" s="2" t="s">
        <v>15</v>
      </c>
      <c r="B22" s="2" t="s">
        <v>16</v>
      </c>
      <c r="C22" s="2" t="s">
        <v>17</v>
      </c>
      <c r="D22" s="2" t="s">
        <v>18</v>
      </c>
    </row>
    <row r="23" spans="1:4" x14ac:dyDescent="0.3">
      <c r="A23" s="2" t="s">
        <v>19</v>
      </c>
      <c r="B23" s="2" t="s">
        <v>20</v>
      </c>
      <c r="C23" s="2" t="s">
        <v>21</v>
      </c>
      <c r="D23" s="2" t="s">
        <v>22</v>
      </c>
    </row>
    <row r="28" spans="1:4" ht="18" x14ac:dyDescent="0.3">
      <c r="A28" s="4" t="s">
        <v>26</v>
      </c>
    </row>
    <row r="30" spans="1:4" x14ac:dyDescent="0.3">
      <c r="A30" s="1" t="s">
        <v>27</v>
      </c>
      <c r="B30" s="1" t="s">
        <v>28</v>
      </c>
    </row>
    <row r="31" spans="1:4" ht="28.8" x14ac:dyDescent="0.3">
      <c r="A31" s="2" t="s">
        <v>29</v>
      </c>
      <c r="B31" s="2">
        <v>7</v>
      </c>
    </row>
    <row r="32" spans="1:4" ht="43.2" x14ac:dyDescent="0.3">
      <c r="A32" s="2" t="s">
        <v>30</v>
      </c>
      <c r="B32" s="5">
        <v>0.33333333333333331</v>
      </c>
    </row>
    <row r="33" spans="1:2" ht="28.8" x14ac:dyDescent="0.3">
      <c r="A33" s="2" t="s">
        <v>31</v>
      </c>
      <c r="B33" s="2" t="s">
        <v>32</v>
      </c>
    </row>
    <row r="34" spans="1:2" ht="28.8" x14ac:dyDescent="0.3">
      <c r="A34" s="2" t="s">
        <v>33</v>
      </c>
      <c r="B34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9B4A-96C5-4EB4-ACA1-F253B770F0ED}">
  <dimension ref="A1:E22"/>
  <sheetViews>
    <sheetView workbookViewId="0">
      <selection activeCell="H20" sqref="H20"/>
    </sheetView>
  </sheetViews>
  <sheetFormatPr baseColWidth="10" defaultRowHeight="14.4" x14ac:dyDescent="0.3"/>
  <sheetData>
    <row r="1" spans="1:5" ht="28.8" x14ac:dyDescent="0.3">
      <c r="A1" s="10" t="s">
        <v>35</v>
      </c>
      <c r="B1" s="11" t="s">
        <v>37</v>
      </c>
      <c r="C1" s="11" t="s">
        <v>38</v>
      </c>
      <c r="D1" s="11" t="s">
        <v>39</v>
      </c>
      <c r="E1" s="11" t="s">
        <v>40</v>
      </c>
    </row>
    <row r="2" spans="1:5" x14ac:dyDescent="0.3">
      <c r="A2" s="12">
        <v>46187</v>
      </c>
      <c r="B2" s="13" t="s">
        <v>3</v>
      </c>
      <c r="C2" s="13">
        <v>14000</v>
      </c>
      <c r="D2" s="13">
        <v>14120</v>
      </c>
      <c r="E2" s="13">
        <v>55</v>
      </c>
    </row>
    <row r="3" spans="1:5" x14ac:dyDescent="0.3">
      <c r="A3" s="14">
        <v>46187</v>
      </c>
      <c r="B3" s="15" t="s">
        <v>5</v>
      </c>
      <c r="C3" s="15">
        <v>10000</v>
      </c>
      <c r="D3" s="15">
        <v>9850</v>
      </c>
      <c r="E3" s="15">
        <v>78</v>
      </c>
    </row>
    <row r="4" spans="1:5" x14ac:dyDescent="0.3">
      <c r="A4" s="12">
        <v>46187</v>
      </c>
      <c r="B4" s="13" t="s">
        <v>7</v>
      </c>
      <c r="C4" s="13">
        <v>8000</v>
      </c>
      <c r="D4" s="13">
        <v>8010</v>
      </c>
      <c r="E4" s="13">
        <v>92</v>
      </c>
    </row>
    <row r="5" spans="1:5" x14ac:dyDescent="0.3">
      <c r="A5" s="14">
        <v>46188</v>
      </c>
      <c r="B5" s="15" t="s">
        <v>3</v>
      </c>
      <c r="C5" s="15">
        <v>14000</v>
      </c>
      <c r="D5" s="15">
        <v>13850</v>
      </c>
      <c r="E5" s="15">
        <v>70</v>
      </c>
    </row>
    <row r="6" spans="1:5" x14ac:dyDescent="0.3">
      <c r="A6" s="12">
        <v>46188</v>
      </c>
      <c r="B6" s="13" t="s">
        <v>5</v>
      </c>
      <c r="C6" s="13">
        <v>10000</v>
      </c>
      <c r="D6" s="13">
        <v>10120</v>
      </c>
      <c r="E6" s="13">
        <v>82</v>
      </c>
    </row>
    <row r="7" spans="1:5" x14ac:dyDescent="0.3">
      <c r="A7" s="14">
        <v>46188</v>
      </c>
      <c r="B7" s="15" t="s">
        <v>7</v>
      </c>
      <c r="C7" s="15">
        <v>8000</v>
      </c>
      <c r="D7" s="15">
        <v>7920</v>
      </c>
      <c r="E7" s="15">
        <v>88</v>
      </c>
    </row>
    <row r="8" spans="1:5" x14ac:dyDescent="0.3">
      <c r="A8" s="12">
        <v>46189</v>
      </c>
      <c r="B8" s="13" t="s">
        <v>3</v>
      </c>
      <c r="C8" s="13">
        <v>14000</v>
      </c>
      <c r="D8" s="13">
        <v>14300</v>
      </c>
      <c r="E8" s="13">
        <v>48</v>
      </c>
    </row>
    <row r="9" spans="1:5" x14ac:dyDescent="0.3">
      <c r="A9" s="14">
        <v>46189</v>
      </c>
      <c r="B9" s="15" t="s">
        <v>5</v>
      </c>
      <c r="C9" s="15">
        <v>10000</v>
      </c>
      <c r="D9" s="15">
        <v>10050</v>
      </c>
      <c r="E9" s="15">
        <v>74</v>
      </c>
    </row>
    <row r="10" spans="1:5" x14ac:dyDescent="0.3">
      <c r="A10" s="12">
        <v>46189</v>
      </c>
      <c r="B10" s="13" t="s">
        <v>7</v>
      </c>
      <c r="C10" s="13">
        <v>8000</v>
      </c>
      <c r="D10" s="13">
        <v>8180</v>
      </c>
      <c r="E10" s="13">
        <v>63</v>
      </c>
    </row>
    <row r="11" spans="1:5" x14ac:dyDescent="0.3">
      <c r="A11" s="14">
        <v>46190</v>
      </c>
      <c r="B11" s="15" t="s">
        <v>3</v>
      </c>
      <c r="C11" s="15">
        <v>14000</v>
      </c>
      <c r="D11" s="15">
        <v>13920</v>
      </c>
      <c r="E11" s="15">
        <v>61</v>
      </c>
    </row>
    <row r="12" spans="1:5" x14ac:dyDescent="0.3">
      <c r="A12" s="12">
        <v>46190</v>
      </c>
      <c r="B12" s="13" t="s">
        <v>5</v>
      </c>
      <c r="C12" s="13">
        <v>10000</v>
      </c>
      <c r="D12" s="13">
        <v>9780</v>
      </c>
      <c r="E12" s="13">
        <v>73</v>
      </c>
    </row>
    <row r="13" spans="1:5" x14ac:dyDescent="0.3">
      <c r="A13" s="14">
        <v>46190</v>
      </c>
      <c r="B13" s="15" t="s">
        <v>7</v>
      </c>
      <c r="C13" s="15">
        <v>8000</v>
      </c>
      <c r="D13" s="15">
        <v>7850</v>
      </c>
      <c r="E13" s="15">
        <v>72</v>
      </c>
    </row>
    <row r="14" spans="1:5" x14ac:dyDescent="0.3">
      <c r="A14" s="12">
        <v>46191</v>
      </c>
      <c r="B14" s="13" t="s">
        <v>3</v>
      </c>
      <c r="C14" s="13">
        <v>14000</v>
      </c>
      <c r="D14" s="13">
        <v>14550</v>
      </c>
      <c r="E14" s="13">
        <v>58</v>
      </c>
    </row>
    <row r="15" spans="1:5" x14ac:dyDescent="0.3">
      <c r="A15" s="14">
        <v>46191</v>
      </c>
      <c r="B15" s="15" t="s">
        <v>5</v>
      </c>
      <c r="C15" s="15">
        <v>10000</v>
      </c>
      <c r="D15" s="15">
        <v>10200</v>
      </c>
      <c r="E15" s="15">
        <v>77</v>
      </c>
    </row>
    <row r="16" spans="1:5" x14ac:dyDescent="0.3">
      <c r="A16" s="12">
        <v>46191</v>
      </c>
      <c r="B16" s="13" t="s">
        <v>7</v>
      </c>
      <c r="C16" s="13">
        <v>8000</v>
      </c>
      <c r="D16" s="13">
        <v>8260</v>
      </c>
      <c r="E16" s="13">
        <v>66</v>
      </c>
    </row>
    <row r="17" spans="1:5" x14ac:dyDescent="0.3">
      <c r="A17" s="14">
        <v>46192</v>
      </c>
      <c r="B17" s="15" t="s">
        <v>3</v>
      </c>
      <c r="C17" s="15">
        <v>14000</v>
      </c>
      <c r="D17" s="15">
        <v>14220</v>
      </c>
      <c r="E17" s="15">
        <v>40</v>
      </c>
    </row>
    <row r="18" spans="1:5" x14ac:dyDescent="0.3">
      <c r="A18" s="12">
        <v>46192</v>
      </c>
      <c r="B18" s="13" t="s">
        <v>5</v>
      </c>
      <c r="C18" s="13">
        <v>10000</v>
      </c>
      <c r="D18" s="13">
        <v>9950</v>
      </c>
      <c r="E18" s="13">
        <v>55</v>
      </c>
    </row>
    <row r="19" spans="1:5" x14ac:dyDescent="0.3">
      <c r="A19" s="14">
        <v>46192</v>
      </c>
      <c r="B19" s="15" t="s">
        <v>7</v>
      </c>
      <c r="C19" s="15">
        <v>8000</v>
      </c>
      <c r="D19" s="15">
        <v>8120</v>
      </c>
      <c r="E19" s="15">
        <v>59</v>
      </c>
    </row>
    <row r="20" spans="1:5" x14ac:dyDescent="0.3">
      <c r="A20" s="12">
        <v>46193</v>
      </c>
      <c r="B20" s="13" t="s">
        <v>3</v>
      </c>
      <c r="C20" s="13">
        <v>14000</v>
      </c>
      <c r="D20" s="13">
        <v>14850</v>
      </c>
      <c r="E20" s="13">
        <v>52</v>
      </c>
    </row>
    <row r="21" spans="1:5" x14ac:dyDescent="0.3">
      <c r="A21" s="14">
        <v>46193</v>
      </c>
      <c r="B21" s="15" t="s">
        <v>5</v>
      </c>
      <c r="C21" s="15">
        <v>10000</v>
      </c>
      <c r="D21" s="15">
        <v>9650</v>
      </c>
      <c r="E21" s="15">
        <v>87</v>
      </c>
    </row>
    <row r="22" spans="1:5" x14ac:dyDescent="0.3">
      <c r="A22" s="12">
        <v>46193</v>
      </c>
      <c r="B22" s="13" t="s">
        <v>7</v>
      </c>
      <c r="C22" s="13">
        <v>8000</v>
      </c>
      <c r="D22" s="13">
        <v>7320</v>
      </c>
      <c r="E22" s="13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6203-EF24-42E2-8E79-72844D95A9E6}">
  <dimension ref="A1:I22"/>
  <sheetViews>
    <sheetView workbookViewId="0">
      <selection activeCell="D23" sqref="D23"/>
    </sheetView>
  </sheetViews>
  <sheetFormatPr baseColWidth="10" defaultRowHeight="14.4" x14ac:dyDescent="0.3"/>
  <cols>
    <col min="4" max="4" width="16" customWidth="1"/>
    <col min="6" max="6" width="15.88671875" customWidth="1"/>
    <col min="7" max="7" width="34.33203125" customWidth="1"/>
    <col min="8" max="8" width="17.44140625" customWidth="1"/>
    <col min="9" max="9" width="23" customWidth="1"/>
    <col min="10" max="10" width="27.77734375" customWidth="1"/>
  </cols>
  <sheetData>
    <row r="1" spans="1:9" ht="28.8" x14ac:dyDescent="0.3">
      <c r="A1" s="1" t="s">
        <v>35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48</v>
      </c>
      <c r="H1" s="1" t="s">
        <v>49</v>
      </c>
      <c r="I1" s="1" t="s">
        <v>50</v>
      </c>
    </row>
    <row r="2" spans="1:9" x14ac:dyDescent="0.3">
      <c r="A2" s="6">
        <v>46187</v>
      </c>
      <c r="B2" s="2" t="s">
        <v>3</v>
      </c>
      <c r="C2" s="2">
        <v>48550</v>
      </c>
      <c r="D2" s="2">
        <v>44530</v>
      </c>
      <c r="E2" s="2">
        <v>55</v>
      </c>
      <c r="F2" s="2" t="s">
        <v>42</v>
      </c>
      <c r="G2" s="2">
        <f>T_HISTORIQUE[[#This Row],[REALISE]]-T_HISTORIQUE[[#This Row],[OBJECTIF_JOUR]]</f>
        <v>-4020</v>
      </c>
      <c r="H2" s="16">
        <f>IFERROR(T_HISTORIQUE[[#This Row],[REALISE]]/T_HISTORIQUE[[#This Row],[OBJECTIF_JOUR]],0)</f>
        <v>0.91719876416065915</v>
      </c>
      <c r="I2" s="16">
        <f>IFERROR(T_HISTORIQUE[[#This Row],[DECLASSES]]/T_HISTORIQUE[[#This Row],[REALISE]],0)</f>
        <v>1.2351223894004042E-3</v>
      </c>
    </row>
    <row r="3" spans="1:9" x14ac:dyDescent="0.3">
      <c r="A3" s="6">
        <v>46187</v>
      </c>
      <c r="B3" s="2" t="s">
        <v>5</v>
      </c>
      <c r="C3" s="2">
        <v>49500</v>
      </c>
      <c r="D3" s="2">
        <v>48510</v>
      </c>
      <c r="E3" s="2">
        <v>78</v>
      </c>
      <c r="F3" s="2" t="s">
        <v>42</v>
      </c>
      <c r="G3" s="2">
        <f>T_HISTORIQUE[[#This Row],[REALISE]]-T_HISTORIQUE[[#This Row],[OBJECTIF_JOUR]]</f>
        <v>-990</v>
      </c>
      <c r="H3" s="16">
        <f>IFERROR(T_HISTORIQUE[[#This Row],[REALISE]]/T_HISTORIQUE[[#This Row],[OBJECTIF_JOUR]],0)</f>
        <v>0.98</v>
      </c>
      <c r="I3" s="16">
        <f>IFERROR(T_HISTORIQUE[[#This Row],[DECLASSES]]/T_HISTORIQUE[[#This Row],[REALISE]],0)</f>
        <v>1.6079158936301793E-3</v>
      </c>
    </row>
    <row r="4" spans="1:9" x14ac:dyDescent="0.3">
      <c r="A4" s="6">
        <v>46187</v>
      </c>
      <c r="B4" s="2" t="s">
        <v>7</v>
      </c>
      <c r="C4" s="2">
        <v>38000</v>
      </c>
      <c r="D4" s="2">
        <v>35100</v>
      </c>
      <c r="E4" s="2">
        <v>92</v>
      </c>
      <c r="F4" s="2" t="s">
        <v>42</v>
      </c>
      <c r="G4" s="2">
        <f>T_HISTORIQUE[[#This Row],[REALISE]]-T_HISTORIQUE[[#This Row],[OBJECTIF_JOUR]]</f>
        <v>-2900</v>
      </c>
      <c r="H4" s="16">
        <f>IFERROR(T_HISTORIQUE[[#This Row],[REALISE]]/T_HISTORIQUE[[#This Row],[OBJECTIF_JOUR]],0)</f>
        <v>0.92368421052631577</v>
      </c>
      <c r="I4" s="16">
        <f>IFERROR(T_HISTORIQUE[[#This Row],[DECLASSES]]/T_HISTORIQUE[[#This Row],[REALISE]],0)</f>
        <v>2.6210826210826209E-3</v>
      </c>
    </row>
    <row r="5" spans="1:9" x14ac:dyDescent="0.3">
      <c r="A5" s="6">
        <v>46188</v>
      </c>
      <c r="B5" s="2" t="s">
        <v>3</v>
      </c>
      <c r="C5" s="2">
        <v>14000</v>
      </c>
      <c r="D5" s="2">
        <v>13850</v>
      </c>
      <c r="E5" s="2">
        <v>70</v>
      </c>
      <c r="F5" s="2" t="s">
        <v>43</v>
      </c>
      <c r="G5" s="2">
        <f>T_HISTORIQUE[[#This Row],[REALISE]]-T_HISTORIQUE[[#This Row],[OBJECTIF_JOUR]]</f>
        <v>-150</v>
      </c>
      <c r="H5" s="16">
        <f>IFERROR(T_HISTORIQUE[[#This Row],[REALISE]]/T_HISTORIQUE[[#This Row],[OBJECTIF_JOUR]],0)</f>
        <v>0.98928571428571432</v>
      </c>
      <c r="I5" s="16">
        <f>IFERROR(T_HISTORIQUE[[#This Row],[DECLASSES]]/T_HISTORIQUE[[#This Row],[REALISE]],0)</f>
        <v>5.0541516245487363E-3</v>
      </c>
    </row>
    <row r="6" spans="1:9" x14ac:dyDescent="0.3">
      <c r="A6" s="6">
        <v>46188</v>
      </c>
      <c r="B6" s="2" t="s">
        <v>5</v>
      </c>
      <c r="C6" s="2">
        <v>10000</v>
      </c>
      <c r="D6" s="2">
        <v>10120</v>
      </c>
      <c r="E6" s="2">
        <v>82</v>
      </c>
      <c r="F6" s="2" t="s">
        <v>42</v>
      </c>
      <c r="G6" s="2">
        <f>T_HISTORIQUE[[#This Row],[REALISE]]-T_HISTORIQUE[[#This Row],[OBJECTIF_JOUR]]</f>
        <v>120</v>
      </c>
      <c r="H6" s="16">
        <f>IFERROR(T_HISTORIQUE[[#This Row],[REALISE]]/T_HISTORIQUE[[#This Row],[OBJECTIF_JOUR]],0)</f>
        <v>1.012</v>
      </c>
      <c r="I6" s="16">
        <f>IFERROR(T_HISTORIQUE[[#This Row],[DECLASSES]]/T_HISTORIQUE[[#This Row],[REALISE]],0)</f>
        <v>8.1027667984189724E-3</v>
      </c>
    </row>
    <row r="7" spans="1:9" x14ac:dyDescent="0.3">
      <c r="A7" s="6">
        <v>46188</v>
      </c>
      <c r="B7" s="2" t="s">
        <v>7</v>
      </c>
      <c r="C7" s="2">
        <v>25130</v>
      </c>
      <c r="D7" s="2">
        <v>33200</v>
      </c>
      <c r="E7" s="2">
        <v>88</v>
      </c>
      <c r="F7" s="2" t="s">
        <v>44</v>
      </c>
      <c r="G7" s="2">
        <f>T_HISTORIQUE[[#This Row],[REALISE]]-T_HISTORIQUE[[#This Row],[OBJECTIF_JOUR]]</f>
        <v>8070</v>
      </c>
      <c r="H7" s="16">
        <f>IFERROR(T_HISTORIQUE[[#This Row],[REALISE]]/T_HISTORIQUE[[#This Row],[OBJECTIF_JOUR]],0)</f>
        <v>1.3211301233585355</v>
      </c>
      <c r="I7" s="16">
        <f>IFERROR(T_HISTORIQUE[[#This Row],[DECLASSES]]/T_HISTORIQUE[[#This Row],[REALISE]],0)</f>
        <v>2.6506024096385541E-3</v>
      </c>
    </row>
    <row r="8" spans="1:9" x14ac:dyDescent="0.3">
      <c r="A8" s="6">
        <v>46189</v>
      </c>
      <c r="B8" s="2" t="s">
        <v>3</v>
      </c>
      <c r="C8" s="2">
        <v>21500</v>
      </c>
      <c r="D8" s="2">
        <v>24130</v>
      </c>
      <c r="E8" s="2">
        <v>48</v>
      </c>
      <c r="F8" s="2" t="s">
        <v>42</v>
      </c>
      <c r="G8" s="2">
        <f>T_HISTORIQUE[[#This Row],[REALISE]]-T_HISTORIQUE[[#This Row],[OBJECTIF_JOUR]]</f>
        <v>2630</v>
      </c>
      <c r="H8" s="16">
        <f>IFERROR(T_HISTORIQUE[[#This Row],[REALISE]]/T_HISTORIQUE[[#This Row],[OBJECTIF_JOUR]],0)</f>
        <v>1.1223255813953488</v>
      </c>
      <c r="I8" s="16">
        <f>IFERROR(T_HISTORIQUE[[#This Row],[DECLASSES]]/T_HISTORIQUE[[#This Row],[REALISE]],0)</f>
        <v>1.989225031081641E-3</v>
      </c>
    </row>
    <row r="9" spans="1:9" x14ac:dyDescent="0.3">
      <c r="A9" s="6">
        <v>46189</v>
      </c>
      <c r="B9" s="2" t="s">
        <v>5</v>
      </c>
      <c r="C9" s="2">
        <v>22510</v>
      </c>
      <c r="D9" s="2">
        <v>23450</v>
      </c>
      <c r="E9" s="2">
        <v>74</v>
      </c>
      <c r="F9" s="2" t="s">
        <v>42</v>
      </c>
      <c r="G9" s="2">
        <f>T_HISTORIQUE[[#This Row],[REALISE]]-T_HISTORIQUE[[#This Row],[OBJECTIF_JOUR]]</f>
        <v>940</v>
      </c>
      <c r="H9" s="16">
        <f>IFERROR(T_HISTORIQUE[[#This Row],[REALISE]]/T_HISTORIQUE[[#This Row],[OBJECTIF_JOUR]],0)</f>
        <v>1.0417592181252777</v>
      </c>
      <c r="I9" s="16">
        <f>IFERROR(T_HISTORIQUE[[#This Row],[DECLASSES]]/T_HISTORIQUE[[#This Row],[REALISE]],0)</f>
        <v>3.1556503198294241E-3</v>
      </c>
    </row>
    <row r="10" spans="1:9" x14ac:dyDescent="0.3">
      <c r="A10" s="6">
        <v>46189</v>
      </c>
      <c r="B10" s="2" t="s">
        <v>7</v>
      </c>
      <c r="C10" s="2">
        <v>21000</v>
      </c>
      <c r="D10" s="2">
        <v>21530</v>
      </c>
      <c r="E10" s="2">
        <v>63</v>
      </c>
      <c r="F10" s="2" t="s">
        <v>42</v>
      </c>
      <c r="G10" s="2">
        <f>T_HISTORIQUE[[#This Row],[REALISE]]-T_HISTORIQUE[[#This Row],[OBJECTIF_JOUR]]</f>
        <v>530</v>
      </c>
      <c r="H10" s="16">
        <f>IFERROR(T_HISTORIQUE[[#This Row],[REALISE]]/T_HISTORIQUE[[#This Row],[OBJECTIF_JOUR]],0)</f>
        <v>1.0252380952380953</v>
      </c>
      <c r="I10" s="16">
        <f>IFERROR(T_HISTORIQUE[[#This Row],[DECLASSES]]/T_HISTORIQUE[[#This Row],[REALISE]],0)</f>
        <v>2.9261495587552251E-3</v>
      </c>
    </row>
    <row r="11" spans="1:9" x14ac:dyDescent="0.3">
      <c r="A11" s="6">
        <v>46190</v>
      </c>
      <c r="B11" s="2" t="s">
        <v>3</v>
      </c>
      <c r="C11" s="2">
        <v>23000</v>
      </c>
      <c r="D11" s="2">
        <v>24150</v>
      </c>
      <c r="E11" s="2">
        <v>61</v>
      </c>
      <c r="F11" s="2" t="s">
        <v>42</v>
      </c>
      <c r="G11" s="2">
        <f>T_HISTORIQUE[[#This Row],[REALISE]]-T_HISTORIQUE[[#This Row],[OBJECTIF_JOUR]]</f>
        <v>1150</v>
      </c>
      <c r="H11" s="16">
        <f>IFERROR(T_HISTORIQUE[[#This Row],[REALISE]]/T_HISTORIQUE[[#This Row],[OBJECTIF_JOUR]],0)</f>
        <v>1.05</v>
      </c>
      <c r="I11" s="16">
        <f>IFERROR(T_HISTORIQUE[[#This Row],[DECLASSES]]/T_HISTORIQUE[[#This Row],[REALISE]],0)</f>
        <v>2.5258799171842651E-3</v>
      </c>
    </row>
    <row r="12" spans="1:9" x14ac:dyDescent="0.3">
      <c r="A12" s="6">
        <v>46190</v>
      </c>
      <c r="B12" s="2" t="s">
        <v>5</v>
      </c>
      <c r="C12" s="2">
        <v>24150</v>
      </c>
      <c r="D12" s="2">
        <v>25410</v>
      </c>
      <c r="E12" s="2">
        <v>73</v>
      </c>
      <c r="F12" s="2" t="s">
        <v>42</v>
      </c>
      <c r="G12" s="2">
        <f>T_HISTORIQUE[[#This Row],[REALISE]]-T_HISTORIQUE[[#This Row],[OBJECTIF_JOUR]]</f>
        <v>1260</v>
      </c>
      <c r="H12" s="16">
        <f>IFERROR(T_HISTORIQUE[[#This Row],[REALISE]]/T_HISTORIQUE[[#This Row],[OBJECTIF_JOUR]],0)</f>
        <v>1.0521739130434782</v>
      </c>
      <c r="I12" s="16">
        <f>IFERROR(T_HISTORIQUE[[#This Row],[DECLASSES]]/T_HISTORIQUE[[#This Row],[REALISE]],0)</f>
        <v>2.8728846910665092E-3</v>
      </c>
    </row>
    <row r="13" spans="1:9" x14ac:dyDescent="0.3">
      <c r="A13" s="6">
        <v>46190</v>
      </c>
      <c r="B13" s="2" t="s">
        <v>7</v>
      </c>
      <c r="C13" s="2">
        <v>25610</v>
      </c>
      <c r="D13" s="2">
        <v>26150</v>
      </c>
      <c r="E13" s="2">
        <v>72</v>
      </c>
      <c r="F13" s="2" t="s">
        <v>45</v>
      </c>
      <c r="G13" s="2">
        <f>T_HISTORIQUE[[#This Row],[REALISE]]-T_HISTORIQUE[[#This Row],[OBJECTIF_JOUR]]</f>
        <v>540</v>
      </c>
      <c r="H13" s="16">
        <f>IFERROR(T_HISTORIQUE[[#This Row],[REALISE]]/T_HISTORIQUE[[#This Row],[OBJECTIF_JOUR]],0)</f>
        <v>1.0210855134713002</v>
      </c>
      <c r="I13" s="16">
        <f>IFERROR(T_HISTORIQUE[[#This Row],[DECLASSES]]/T_HISTORIQUE[[#This Row],[REALISE]],0)</f>
        <v>2.7533460803059275E-3</v>
      </c>
    </row>
    <row r="14" spans="1:9" x14ac:dyDescent="0.3">
      <c r="A14" s="6">
        <v>46191</v>
      </c>
      <c r="B14" s="2" t="s">
        <v>3</v>
      </c>
      <c r="C14" s="2">
        <v>19800</v>
      </c>
      <c r="D14" s="2">
        <v>25410</v>
      </c>
      <c r="E14" s="2">
        <v>58</v>
      </c>
      <c r="F14" s="2" t="s">
        <v>42</v>
      </c>
      <c r="G14" s="2">
        <f>T_HISTORIQUE[[#This Row],[REALISE]]-T_HISTORIQUE[[#This Row],[OBJECTIF_JOUR]]</f>
        <v>5610</v>
      </c>
      <c r="H14" s="16">
        <f>IFERROR(T_HISTORIQUE[[#This Row],[REALISE]]/T_HISTORIQUE[[#This Row],[OBJECTIF_JOUR]],0)</f>
        <v>1.2833333333333334</v>
      </c>
      <c r="I14" s="16">
        <f>IFERROR(T_HISTORIQUE[[#This Row],[DECLASSES]]/T_HISTORIQUE[[#This Row],[REALISE]],0)</f>
        <v>2.2825659189295551E-3</v>
      </c>
    </row>
    <row r="15" spans="1:9" x14ac:dyDescent="0.3">
      <c r="A15" s="6">
        <v>46191</v>
      </c>
      <c r="B15" s="2" t="s">
        <v>5</v>
      </c>
      <c r="C15" s="2">
        <v>10000</v>
      </c>
      <c r="D15" s="2">
        <v>10200</v>
      </c>
      <c r="E15" s="2">
        <v>77</v>
      </c>
      <c r="F15" s="2" t="s">
        <v>42</v>
      </c>
      <c r="G15" s="2">
        <f>T_HISTORIQUE[[#This Row],[REALISE]]-T_HISTORIQUE[[#This Row],[OBJECTIF_JOUR]]</f>
        <v>200</v>
      </c>
      <c r="H15" s="16">
        <f>IFERROR(T_HISTORIQUE[[#This Row],[REALISE]]/T_HISTORIQUE[[#This Row],[OBJECTIF_JOUR]],0)</f>
        <v>1.02</v>
      </c>
      <c r="I15" s="16">
        <f>IFERROR(T_HISTORIQUE[[#This Row],[DECLASSES]]/T_HISTORIQUE[[#This Row],[REALISE]],0)</f>
        <v>7.5490196078431375E-3</v>
      </c>
    </row>
    <row r="16" spans="1:9" x14ac:dyDescent="0.3">
      <c r="A16" s="6">
        <v>46191</v>
      </c>
      <c r="B16" s="2" t="s">
        <v>7</v>
      </c>
      <c r="C16" s="2">
        <v>33355</v>
      </c>
      <c r="D16" s="2">
        <v>34520</v>
      </c>
      <c r="E16" s="2">
        <v>66</v>
      </c>
      <c r="F16" s="2" t="s">
        <v>42</v>
      </c>
      <c r="G16" s="2">
        <f>T_HISTORIQUE[[#This Row],[REALISE]]-T_HISTORIQUE[[#This Row],[OBJECTIF_JOUR]]</f>
        <v>1165</v>
      </c>
      <c r="H16" s="16">
        <f>IFERROR(T_HISTORIQUE[[#This Row],[REALISE]]/T_HISTORIQUE[[#This Row],[OBJECTIF_JOUR]],0)</f>
        <v>1.0349272972567831</v>
      </c>
      <c r="I16" s="16">
        <f>IFERROR(T_HISTORIQUE[[#This Row],[DECLASSES]]/T_HISTORIQUE[[#This Row],[REALISE]],0)</f>
        <v>1.9119351100811124E-3</v>
      </c>
    </row>
    <row r="17" spans="1:9" x14ac:dyDescent="0.3">
      <c r="A17" s="6">
        <v>46192</v>
      </c>
      <c r="B17" s="2" t="s">
        <v>3</v>
      </c>
      <c r="C17" s="2">
        <v>55230</v>
      </c>
      <c r="D17" s="2">
        <v>56215</v>
      </c>
      <c r="E17" s="2">
        <v>40</v>
      </c>
      <c r="F17" s="2" t="s">
        <v>42</v>
      </c>
      <c r="G17" s="2">
        <f>T_HISTORIQUE[[#This Row],[REALISE]]-T_HISTORIQUE[[#This Row],[OBJECTIF_JOUR]]</f>
        <v>985</v>
      </c>
      <c r="H17" s="16">
        <f>IFERROR(T_HISTORIQUE[[#This Row],[REALISE]]/T_HISTORIQUE[[#This Row],[OBJECTIF_JOUR]],0)</f>
        <v>1.0178345102299475</v>
      </c>
      <c r="I17" s="16">
        <f>IFERROR(T_HISTORIQUE[[#This Row],[DECLASSES]]/T_HISTORIQUE[[#This Row],[REALISE]],0)</f>
        <v>7.1155385573245578E-4</v>
      </c>
    </row>
    <row r="18" spans="1:9" x14ac:dyDescent="0.3">
      <c r="A18" s="6">
        <v>46192</v>
      </c>
      <c r="B18" s="2" t="s">
        <v>5</v>
      </c>
      <c r="C18" s="2">
        <v>35240</v>
      </c>
      <c r="D18" s="2">
        <v>36200</v>
      </c>
      <c r="E18" s="2">
        <v>55</v>
      </c>
      <c r="F18" s="2" t="s">
        <v>42</v>
      </c>
      <c r="G18" s="2">
        <f>T_HISTORIQUE[[#This Row],[REALISE]]-T_HISTORIQUE[[#This Row],[OBJECTIF_JOUR]]</f>
        <v>960</v>
      </c>
      <c r="H18" s="16">
        <f>IFERROR(T_HISTORIQUE[[#This Row],[REALISE]]/T_HISTORIQUE[[#This Row],[OBJECTIF_JOUR]],0)</f>
        <v>1.0272417707150965</v>
      </c>
      <c r="I18" s="16">
        <f>IFERROR(T_HISTORIQUE[[#This Row],[DECLASSES]]/T_HISTORIQUE[[#This Row],[REALISE]],0)</f>
        <v>1.5193370165745856E-3</v>
      </c>
    </row>
    <row r="19" spans="1:9" x14ac:dyDescent="0.3">
      <c r="A19" s="6">
        <v>46192</v>
      </c>
      <c r="B19" s="2" t="s">
        <v>7</v>
      </c>
      <c r="C19" s="2">
        <v>32105</v>
      </c>
      <c r="D19" s="2">
        <v>33250</v>
      </c>
      <c r="E19" s="2">
        <v>59</v>
      </c>
      <c r="F19" s="2" t="s">
        <v>42</v>
      </c>
      <c r="G19" s="2">
        <f>T_HISTORIQUE[[#This Row],[REALISE]]-T_HISTORIQUE[[#This Row],[OBJECTIF_JOUR]]</f>
        <v>1145</v>
      </c>
      <c r="H19" s="16">
        <f>IFERROR(T_HISTORIQUE[[#This Row],[REALISE]]/T_HISTORIQUE[[#This Row],[OBJECTIF_JOUR]],0)</f>
        <v>1.035664226755957</v>
      </c>
      <c r="I19" s="16">
        <f>IFERROR(T_HISTORIQUE[[#This Row],[DECLASSES]]/T_HISTORIQUE[[#This Row],[REALISE]],0)</f>
        <v>1.7744360902255639E-3</v>
      </c>
    </row>
    <row r="20" spans="1:9" x14ac:dyDescent="0.3">
      <c r="A20" s="6">
        <v>46193</v>
      </c>
      <c r="B20" s="2" t="s">
        <v>3</v>
      </c>
      <c r="C20" s="2">
        <v>22100</v>
      </c>
      <c r="D20" s="2">
        <v>23145</v>
      </c>
      <c r="E20" s="2">
        <v>52</v>
      </c>
      <c r="F20" s="2" t="s">
        <v>42</v>
      </c>
      <c r="G20" s="2">
        <f>T_HISTORIQUE[[#This Row],[REALISE]]-T_HISTORIQUE[[#This Row],[OBJECTIF_JOUR]]</f>
        <v>1045</v>
      </c>
      <c r="H20" s="16">
        <f>IFERROR(T_HISTORIQUE[[#This Row],[REALISE]]/T_HISTORIQUE[[#This Row],[OBJECTIF_JOUR]],0)</f>
        <v>1.0472850678733032</v>
      </c>
      <c r="I20" s="16">
        <f>IFERROR(T_HISTORIQUE[[#This Row],[DECLASSES]]/T_HISTORIQUE[[#This Row],[REALISE]],0)</f>
        <v>2.2467055519550657E-3</v>
      </c>
    </row>
    <row r="21" spans="1:9" ht="28.8" x14ac:dyDescent="0.3">
      <c r="A21" s="6">
        <v>46193</v>
      </c>
      <c r="B21" s="2" t="s">
        <v>5</v>
      </c>
      <c r="C21" s="2">
        <v>45000</v>
      </c>
      <c r="D21" s="2">
        <v>45120</v>
      </c>
      <c r="E21" s="2">
        <v>87</v>
      </c>
      <c r="F21" s="2" t="s">
        <v>46</v>
      </c>
      <c r="G21" s="2">
        <f>T_HISTORIQUE[[#This Row],[REALISE]]-T_HISTORIQUE[[#This Row],[OBJECTIF_JOUR]]</f>
        <v>120</v>
      </c>
      <c r="H21" s="16">
        <f>IFERROR(T_HISTORIQUE[[#This Row],[REALISE]]/T_HISTORIQUE[[#This Row],[OBJECTIF_JOUR]],0)</f>
        <v>1.0026666666666666</v>
      </c>
      <c r="I21" s="16">
        <f>IFERROR(T_HISTORIQUE[[#This Row],[DECLASSES]]/T_HISTORIQUE[[#This Row],[REALISE]],0)</f>
        <v>1.9281914893617021E-3</v>
      </c>
    </row>
    <row r="22" spans="1:9" ht="28.8" x14ac:dyDescent="0.3">
      <c r="A22" s="6">
        <v>46193</v>
      </c>
      <c r="B22" s="2" t="s">
        <v>7</v>
      </c>
      <c r="C22" s="2">
        <v>33260</v>
      </c>
      <c r="D22" s="2">
        <v>32120</v>
      </c>
      <c r="E22" s="2">
        <v>105</v>
      </c>
      <c r="F22" s="2" t="s">
        <v>47</v>
      </c>
      <c r="G22" s="2">
        <f>T_HISTORIQUE[[#This Row],[REALISE]]-T_HISTORIQUE[[#This Row],[OBJECTIF_JOUR]]</f>
        <v>-1140</v>
      </c>
      <c r="H22" s="16">
        <f>IFERROR(T_HISTORIQUE[[#This Row],[REALISE]]/T_HISTORIQUE[[#This Row],[OBJECTIF_JOUR]],0)</f>
        <v>0.96572459410703548</v>
      </c>
      <c r="I22" s="16">
        <f>IFERROR(T_HISTORIQUE[[#This Row],[DECLASSES]]/T_HISTORIQUE[[#This Row],[REALISE]],0)</f>
        <v>3.2689912826899129E-3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140A-5AC4-41E2-8825-7346C4C3D563}">
  <dimension ref="A1"/>
  <sheetViews>
    <sheetView workbookViewId="0">
      <selection activeCell="G34" sqref="G34"/>
    </sheetView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0F53-0DA1-46F7-8ECF-EC2469E7E0FA}">
  <sheetPr>
    <pageSetUpPr fitToPage="1"/>
  </sheetPr>
  <dimension ref="A1:AJ41"/>
  <sheetViews>
    <sheetView showGridLines="0" tabSelected="1" zoomScale="30" zoomScaleNormal="30" workbookViewId="0">
      <selection activeCell="AA13" sqref="AA13"/>
    </sheetView>
  </sheetViews>
  <sheetFormatPr baseColWidth="10" defaultRowHeight="16.8" x14ac:dyDescent="0.4"/>
  <cols>
    <col min="1" max="1" width="3" style="7" customWidth="1"/>
    <col min="2" max="2" width="2.44140625" style="7" customWidth="1"/>
    <col min="3" max="3" width="11.5546875" style="7"/>
    <col min="4" max="4" width="21.21875" style="7" customWidth="1"/>
    <col min="5" max="5" width="28.77734375" style="7" customWidth="1"/>
    <col min="6" max="6" width="11.77734375" style="7" bestFit="1" customWidth="1"/>
    <col min="7" max="7" width="18.33203125" style="7" bestFit="1" customWidth="1"/>
    <col min="8" max="8" width="40.88671875" style="58" customWidth="1"/>
    <col min="9" max="9" width="15.6640625" style="7" bestFit="1" customWidth="1"/>
    <col min="10" max="10" width="4.6640625" style="7" customWidth="1"/>
    <col min="11" max="11" width="14.88671875" style="7" customWidth="1"/>
    <col min="12" max="12" width="16.77734375" style="7" customWidth="1"/>
    <col min="13" max="13" width="34" style="7" customWidth="1"/>
    <col min="14" max="14" width="13.77734375" style="7" customWidth="1"/>
    <col min="15" max="15" width="16.5546875" style="7" bestFit="1" customWidth="1"/>
    <col min="16" max="16" width="30.33203125" style="58" customWidth="1"/>
    <col min="17" max="17" width="15.21875" style="7" customWidth="1"/>
    <col min="18" max="18" width="4.44140625" style="7" customWidth="1"/>
    <col min="19" max="19" width="11.5546875" style="7"/>
    <col min="20" max="20" width="26.109375" style="7" customWidth="1"/>
    <col min="21" max="21" width="29.88671875" style="7" customWidth="1"/>
    <col min="22" max="22" width="11.77734375" style="7" bestFit="1" customWidth="1"/>
    <col min="23" max="23" width="15.88671875" style="7" customWidth="1"/>
    <col min="24" max="24" width="32.109375" style="7" customWidth="1"/>
    <col min="25" max="25" width="17.88671875" style="7" customWidth="1"/>
    <col min="26" max="26" width="63.33203125" style="7" customWidth="1"/>
    <col min="27" max="27" width="11.5546875" style="7"/>
    <col min="28" max="28" width="14" style="7" customWidth="1"/>
    <col min="29" max="29" width="21.77734375" style="7" customWidth="1"/>
    <col min="30" max="30" width="20.77734375" style="7" customWidth="1"/>
    <col min="31" max="31" width="30.77734375" style="7" bestFit="1" customWidth="1"/>
    <col min="32" max="32" width="14.33203125" style="7" bestFit="1" customWidth="1"/>
    <col min="33" max="33" width="12.44140625" style="7" customWidth="1"/>
    <col min="34" max="16384" width="11.5546875" style="7"/>
  </cols>
  <sheetData>
    <row r="1" spans="1:36" x14ac:dyDescent="0.4">
      <c r="A1" s="8"/>
      <c r="B1" s="8"/>
      <c r="C1" s="8"/>
      <c r="D1" s="8"/>
      <c r="E1" s="8"/>
      <c r="F1" s="8"/>
      <c r="G1" s="8"/>
      <c r="H1" s="9"/>
      <c r="I1" s="8"/>
      <c r="J1" s="8"/>
      <c r="K1" s="8"/>
      <c r="L1" s="8"/>
      <c r="M1" s="8"/>
      <c r="N1" s="8"/>
      <c r="O1" s="8"/>
      <c r="P1" s="9"/>
      <c r="Q1" s="8"/>
      <c r="R1" s="8"/>
      <c r="S1" s="8"/>
      <c r="T1" s="8"/>
      <c r="U1" s="8"/>
      <c r="V1" s="8"/>
      <c r="W1" s="8"/>
      <c r="X1" s="8"/>
      <c r="Y1" s="8"/>
      <c r="AB1" s="7" t="s">
        <v>51</v>
      </c>
      <c r="AC1" s="7" t="s">
        <v>23</v>
      </c>
      <c r="AD1" s="7" t="s">
        <v>24</v>
      </c>
      <c r="AE1" s="7" t="s">
        <v>25</v>
      </c>
      <c r="AF1" s="7" t="s">
        <v>53</v>
      </c>
      <c r="AG1" s="7" t="s">
        <v>54</v>
      </c>
      <c r="AH1" s="7" t="s">
        <v>57</v>
      </c>
      <c r="AI1" s="7" t="s">
        <v>58</v>
      </c>
      <c r="AJ1" s="7" t="s">
        <v>59</v>
      </c>
    </row>
    <row r="2" spans="1:36" ht="42.6" customHeight="1" x14ac:dyDescent="0.4">
      <c r="A2" s="8"/>
      <c r="B2" s="8"/>
      <c r="C2" s="40"/>
      <c r="D2" s="93"/>
      <c r="E2" s="93"/>
      <c r="F2" s="93"/>
      <c r="G2" s="93"/>
      <c r="H2" s="94"/>
      <c r="I2" s="93"/>
      <c r="J2" s="93"/>
      <c r="K2" s="93"/>
      <c r="L2" s="93"/>
      <c r="M2" s="93"/>
      <c r="N2" s="93"/>
      <c r="O2" s="93"/>
      <c r="P2" s="94"/>
      <c r="Q2" s="93"/>
      <c r="R2" s="93"/>
      <c r="T2" s="96"/>
      <c r="U2" s="96"/>
      <c r="V2" s="95" t="s">
        <v>35</v>
      </c>
      <c r="W2" s="96"/>
      <c r="X2" s="59"/>
      <c r="Y2" s="59"/>
      <c r="Z2" s="25"/>
      <c r="AA2" s="7" t="s">
        <v>52</v>
      </c>
      <c r="AB2" s="17">
        <f>MAX(T_HISTORIQUE[DATE])</f>
        <v>46193</v>
      </c>
      <c r="AC2" s="7">
        <f>SUMIFS(
T_HISTORIQUE[OBJECTIF_JOUR],
T_HISTORIQUE[DATE],$AB$2,
T_HISTORIQUE[FORMAT],"200 g"
)</f>
        <v>22100</v>
      </c>
      <c r="AD2" s="7">
        <f>SUMIFS(
T_HISTORIQUE[REALISE],
T_HISTORIQUE[DATE],$AB$2,
T_HISTORIQUE[FORMAT],"200 g"
)</f>
        <v>23145</v>
      </c>
      <c r="AE2" s="7">
        <f>SUMIFS(
T_HISTORIQUE[DECLASSES],
T_HISTORIQUE[DATE],$AB$2,
T_HISTORIQUE[FORMAT],"200 g"
)</f>
        <v>52</v>
      </c>
      <c r="AF2" s="7">
        <f>AD2-AC2</f>
        <v>1045</v>
      </c>
      <c r="AG2" s="19">
        <f>IFERROR(AD2/AC2,0)</f>
        <v>1.0472850678733032</v>
      </c>
      <c r="AH2" s="7" t="str">
        <f>IF(AG2&gt;=1,"AVANCE",
IF(AG2&gt;=0.95,"VIGILANCE",
"RETARD"))</f>
        <v>AVANCE</v>
      </c>
      <c r="AI2" s="7" t="str">
        <f>IF(AG2&gt;=1,"VERT",
IF(AG2&gt;=0.95,"ORANGE",
"ROUGE"))</f>
        <v>VERT</v>
      </c>
      <c r="AJ2" s="7" t="str">
        <f>IF(AG2&gt;=1,"⬆",
IF(AG2&gt;=0.95,"⚠",
"⬇"))</f>
        <v>⬆</v>
      </c>
    </row>
    <row r="3" spans="1:36" ht="69.599999999999994" customHeight="1" x14ac:dyDescent="0.4">
      <c r="A3" s="8"/>
      <c r="B3" s="8"/>
      <c r="C3" s="8"/>
      <c r="E3" s="97" t="s">
        <v>34</v>
      </c>
      <c r="F3" s="94"/>
      <c r="G3" s="93"/>
      <c r="H3" s="98"/>
      <c r="I3" s="99"/>
      <c r="J3" s="93"/>
      <c r="K3" s="93"/>
      <c r="L3" s="93"/>
      <c r="M3" s="93"/>
      <c r="N3" s="93"/>
      <c r="O3" s="93"/>
      <c r="P3" s="94"/>
      <c r="Q3" s="93"/>
      <c r="R3" s="93"/>
      <c r="T3" s="96"/>
      <c r="U3" s="96"/>
      <c r="V3" s="97" t="str">
        <f>TEXT(AB2,"jj/mm/aaaa")</f>
        <v>20/06/2026</v>
      </c>
      <c r="W3" s="96"/>
      <c r="X3" s="59"/>
      <c r="Y3" s="59"/>
      <c r="Z3" s="8"/>
      <c r="AA3" s="7" t="s">
        <v>55</v>
      </c>
      <c r="AB3" s="17">
        <f>MAX(T_HISTORIQUE[DATE])</f>
        <v>46193</v>
      </c>
      <c r="AC3" s="7">
        <f>SUMIFS(
T_HISTORIQUE[OBJECTIF_JOUR],
T_HISTORIQUE[DATE],$AB$2,
T_HISTORIQUE[FORMAT],"270 g"
)</f>
        <v>45000</v>
      </c>
      <c r="AD3" s="7">
        <f>SUMIFS(
T_HISTORIQUE[REALISE],
T_HISTORIQUE[DATE],$AB$2,
T_HISTORIQUE[FORMAT],"270 g"
)</f>
        <v>45120</v>
      </c>
      <c r="AE3" s="7">
        <f>SUMIFS(
T_HISTORIQUE[DECLASSES],
T_HISTORIQUE[DATE],$AB$2,
T_HISTORIQUE[FORMAT],"270 g"
)</f>
        <v>87</v>
      </c>
      <c r="AF3" s="7">
        <f>AD3-AC3</f>
        <v>120</v>
      </c>
      <c r="AG3" s="19">
        <f>IFERROR(AD3/AC3,0)</f>
        <v>1.0026666666666666</v>
      </c>
      <c r="AH3" s="7" t="str">
        <f t="shared" ref="AH3" si="0">IF(AG3&gt;=1,"AVANCE",
IF(AG3&gt;=0.95,"VIGILANCE",
"RETARD"))</f>
        <v>AVANCE</v>
      </c>
      <c r="AI3" s="7" t="str">
        <f t="shared" ref="AI3:AI4" si="1">IF(AG3&gt;=1,"VERT",
IF(AG3&gt;=0.95,"ORANGE",
"ROUGE"))</f>
        <v>VERT</v>
      </c>
      <c r="AJ3" s="7" t="str">
        <f t="shared" ref="AJ3:AJ4" si="2">IF(AG3&gt;=1,"⬆",
IF(AG3&gt;=0.95,"⚠",
"⬇"))</f>
        <v>⬆</v>
      </c>
    </row>
    <row r="4" spans="1:36" ht="55.8" customHeight="1" x14ac:dyDescent="0.4">
      <c r="A4" s="8"/>
      <c r="B4" s="8"/>
      <c r="C4" s="8"/>
      <c r="E4" s="148" t="s">
        <v>74</v>
      </c>
      <c r="F4" s="94"/>
      <c r="G4" s="93"/>
      <c r="H4" s="98"/>
      <c r="I4" s="99"/>
      <c r="J4" s="93"/>
      <c r="K4" s="93"/>
      <c r="L4" s="93"/>
      <c r="M4" s="93"/>
      <c r="N4" s="93"/>
      <c r="O4" s="93"/>
      <c r="P4" s="94"/>
      <c r="Q4" s="93"/>
      <c r="R4" s="93"/>
      <c r="T4" s="96"/>
      <c r="U4" s="96"/>
      <c r="V4" s="145" t="s">
        <v>71</v>
      </c>
      <c r="W4" s="96"/>
      <c r="X4" s="59"/>
      <c r="Y4" s="59"/>
      <c r="AA4" s="7" t="s">
        <v>56</v>
      </c>
      <c r="AB4" s="17">
        <f>MAX(T_HISTORIQUE[DATE])</f>
        <v>46193</v>
      </c>
      <c r="AC4" s="7">
        <f>SUMIFS(
T_HISTORIQUE[OBJECTIF_JOUR],
T_HISTORIQUE[DATE],$AB$2,
T_HISTORIQUE[FORMAT],"350 g"
)</f>
        <v>33260</v>
      </c>
      <c r="AD4" s="7">
        <f>SUMIFS(
T_HISTORIQUE[REALISE],
T_HISTORIQUE[DATE],$AB$2,
T_HISTORIQUE[FORMAT],"350 g"
)</f>
        <v>32120</v>
      </c>
      <c r="AE4" s="7">
        <f>SUMIFS(
T_HISTORIQUE[DECLASSES],
T_HISTORIQUE[DATE],$AB$2,
T_HISTORIQUE[FORMAT],"350 g"
)</f>
        <v>105</v>
      </c>
      <c r="AF4" s="7">
        <f>AD4-AC4</f>
        <v>-1140</v>
      </c>
      <c r="AG4" s="19">
        <f>IFERROR(AD4/AC4,0)</f>
        <v>0.96572459410703548</v>
      </c>
      <c r="AH4" s="7" t="str">
        <f>IF(AG4&gt;=1,"AVANCE",
IF(AG4&gt;=0.95,"VIGILANCE",
"RETARD"))</f>
        <v>VIGILANCE</v>
      </c>
      <c r="AI4" s="7" t="str">
        <f t="shared" si="1"/>
        <v>ORANGE</v>
      </c>
      <c r="AJ4" s="7" t="str">
        <f t="shared" si="2"/>
        <v>⚠</v>
      </c>
    </row>
    <row r="5" spans="1:36" ht="55.8" customHeight="1" x14ac:dyDescent="0.4">
      <c r="A5" s="8"/>
      <c r="B5" s="8"/>
      <c r="C5" s="40"/>
      <c r="E5" s="93" t="s">
        <v>66</v>
      </c>
      <c r="F5" s="93"/>
      <c r="G5" s="93"/>
      <c r="H5" s="94"/>
      <c r="I5" s="93"/>
      <c r="J5" s="93"/>
      <c r="K5" s="93"/>
      <c r="L5" s="93"/>
      <c r="M5" s="93"/>
      <c r="N5" s="93"/>
      <c r="O5" s="93"/>
      <c r="P5" s="94"/>
      <c r="Q5" s="93"/>
      <c r="R5" s="93"/>
      <c r="S5" s="96"/>
      <c r="T5" s="96"/>
      <c r="U5" s="96"/>
      <c r="V5" s="96"/>
      <c r="W5" s="96"/>
      <c r="X5" s="59"/>
      <c r="Y5" s="59"/>
      <c r="Z5" s="8"/>
    </row>
    <row r="6" spans="1:36" x14ac:dyDescent="0.4">
      <c r="A6" s="8"/>
      <c r="B6" s="8"/>
      <c r="C6" s="8"/>
      <c r="D6" s="8"/>
      <c r="E6" s="8"/>
      <c r="F6" s="8"/>
      <c r="G6" s="8"/>
      <c r="H6" s="9"/>
      <c r="I6" s="8"/>
      <c r="J6" s="8"/>
      <c r="K6" s="8"/>
      <c r="L6" s="8"/>
      <c r="M6" s="8"/>
      <c r="N6" s="8"/>
      <c r="O6" s="8"/>
      <c r="P6" s="9"/>
      <c r="Q6" s="8"/>
      <c r="R6" s="8"/>
      <c r="S6" s="8"/>
      <c r="T6" s="8"/>
      <c r="U6" s="8"/>
      <c r="V6" s="8"/>
      <c r="W6" s="8"/>
      <c r="X6" s="8"/>
      <c r="Y6" s="8"/>
    </row>
    <row r="7" spans="1:36" s="53" customFormat="1" ht="63" customHeight="1" x14ac:dyDescent="1.35">
      <c r="A7" s="52"/>
      <c r="B7" s="52"/>
      <c r="C7" s="112"/>
      <c r="D7" s="113"/>
      <c r="E7" s="113"/>
      <c r="F7" s="113"/>
      <c r="G7" s="113"/>
      <c r="H7" s="113"/>
      <c r="I7" s="114"/>
      <c r="J7" s="52"/>
      <c r="K7" s="115"/>
      <c r="L7" s="116"/>
      <c r="M7" s="116"/>
      <c r="N7" s="116"/>
      <c r="O7" s="116"/>
      <c r="P7" s="116"/>
      <c r="Q7" s="117"/>
      <c r="R7" s="52"/>
      <c r="S7" s="118"/>
      <c r="T7" s="119"/>
      <c r="U7" s="119"/>
      <c r="V7" s="119"/>
      <c r="W7" s="119"/>
      <c r="X7" s="119"/>
      <c r="Y7" s="120"/>
      <c r="Z7" s="52"/>
    </row>
    <row r="8" spans="1:36" s="27" customFormat="1" ht="39.6" x14ac:dyDescent="0.8">
      <c r="A8" s="23"/>
      <c r="B8" s="23"/>
      <c r="C8" s="70"/>
      <c r="D8" s="23"/>
      <c r="E8" s="23"/>
      <c r="F8" s="23"/>
      <c r="G8" s="23"/>
      <c r="H8" s="54"/>
      <c r="I8" s="71"/>
      <c r="J8" s="23"/>
      <c r="K8" s="79"/>
      <c r="L8" s="23"/>
      <c r="M8" s="23"/>
      <c r="N8" s="23"/>
      <c r="O8" s="23"/>
      <c r="P8" s="54"/>
      <c r="Q8" s="80"/>
      <c r="R8" s="23"/>
      <c r="S8" s="43"/>
      <c r="T8" s="23"/>
      <c r="U8" s="23"/>
      <c r="V8" s="23"/>
      <c r="W8" s="23"/>
      <c r="X8" s="23"/>
      <c r="Y8" s="44"/>
      <c r="Z8" s="23"/>
    </row>
    <row r="9" spans="1:36" s="27" customFormat="1" ht="63.6" customHeight="1" x14ac:dyDescent="0.8">
      <c r="A9" s="23"/>
      <c r="B9" s="23"/>
      <c r="C9" s="157" t="s">
        <v>75</v>
      </c>
      <c r="D9" s="154"/>
      <c r="E9" s="154"/>
      <c r="F9" s="154"/>
      <c r="G9" s="23"/>
      <c r="H9" s="150" t="s">
        <v>76</v>
      </c>
      <c r="I9" s="71"/>
      <c r="J9" s="23"/>
      <c r="K9" s="163" t="s">
        <v>75</v>
      </c>
      <c r="L9" s="149"/>
      <c r="M9" s="149"/>
      <c r="N9" s="149"/>
      <c r="O9" s="23"/>
      <c r="P9" s="150" t="s">
        <v>76</v>
      </c>
      <c r="Q9" s="80"/>
      <c r="R9" s="23"/>
      <c r="S9" s="185" t="s">
        <v>75</v>
      </c>
      <c r="T9" s="149"/>
      <c r="U9" s="149"/>
      <c r="V9" s="149"/>
      <c r="W9" s="23"/>
      <c r="X9" s="150" t="s">
        <v>76</v>
      </c>
      <c r="Y9" s="44"/>
      <c r="Z9" s="23"/>
    </row>
    <row r="10" spans="1:36" ht="34.799999999999997" x14ac:dyDescent="0.4">
      <c r="A10" s="8"/>
      <c r="B10" s="8"/>
      <c r="C10" s="158" t="s">
        <v>60</v>
      </c>
      <c r="D10" s="121"/>
      <c r="E10" s="88" t="s">
        <v>61</v>
      </c>
      <c r="F10" s="8"/>
      <c r="G10" s="8"/>
      <c r="H10" s="88" t="s">
        <v>61</v>
      </c>
      <c r="I10" s="73"/>
      <c r="J10" s="8"/>
      <c r="K10" s="164" t="s">
        <v>60</v>
      </c>
      <c r="L10" s="108"/>
      <c r="M10" s="88" t="s">
        <v>61</v>
      </c>
      <c r="N10" s="8"/>
      <c r="O10" s="8"/>
      <c r="P10" s="88" t="s">
        <v>61</v>
      </c>
      <c r="Q10" s="82"/>
      <c r="R10" s="8"/>
      <c r="S10" s="186" t="s">
        <v>60</v>
      </c>
      <c r="T10" s="110"/>
      <c r="U10" s="88" t="s">
        <v>61</v>
      </c>
      <c r="V10" s="8"/>
      <c r="W10" s="8"/>
      <c r="X10" s="88" t="s">
        <v>61</v>
      </c>
      <c r="Y10" s="46"/>
      <c r="Z10" s="8"/>
    </row>
    <row r="11" spans="1:36" s="26" customFormat="1" ht="67.8" x14ac:dyDescent="1.1000000000000001">
      <c r="A11" s="22"/>
      <c r="B11" s="22"/>
      <c r="C11" s="170" t="str">
        <f>AH2</f>
        <v>AVANCE</v>
      </c>
      <c r="D11" s="22"/>
      <c r="E11" s="89">
        <f>AC2</f>
        <v>22100</v>
      </c>
      <c r="F11" s="22"/>
      <c r="G11" s="22"/>
      <c r="H11" s="182" t="s">
        <v>77</v>
      </c>
      <c r="I11" s="74"/>
      <c r="J11" s="22"/>
      <c r="K11" s="171" t="str">
        <f>AH3</f>
        <v>AVANCE</v>
      </c>
      <c r="L11" s="22"/>
      <c r="M11" s="89">
        <f>AC3</f>
        <v>45000</v>
      </c>
      <c r="N11" s="22"/>
      <c r="O11" s="22"/>
      <c r="P11" s="159" t="s">
        <v>77</v>
      </c>
      <c r="Q11" s="83"/>
      <c r="R11" s="22"/>
      <c r="S11" s="187" t="str">
        <f>AH4</f>
        <v>VIGILANCE</v>
      </c>
      <c r="T11" s="22"/>
      <c r="U11" s="89">
        <f>AC4</f>
        <v>33260</v>
      </c>
      <c r="V11" s="22"/>
      <c r="W11" s="22"/>
      <c r="X11" s="159" t="s">
        <v>77</v>
      </c>
      <c r="Y11" s="47"/>
      <c r="Z11" s="22"/>
    </row>
    <row r="12" spans="1:36" s="24" customFormat="1" ht="27" x14ac:dyDescent="0.6">
      <c r="A12" s="20"/>
      <c r="B12" s="20"/>
      <c r="C12" s="75"/>
      <c r="D12" s="20"/>
      <c r="E12" s="90" t="s">
        <v>63</v>
      </c>
      <c r="F12" s="20"/>
      <c r="G12" s="20"/>
      <c r="H12" s="20"/>
      <c r="I12" s="76"/>
      <c r="J12" s="20"/>
      <c r="K12" s="84"/>
      <c r="L12" s="20"/>
      <c r="M12" s="90" t="s">
        <v>63</v>
      </c>
      <c r="N12" s="20"/>
      <c r="O12" s="20"/>
      <c r="P12" s="20"/>
      <c r="Q12" s="85"/>
      <c r="R12" s="20"/>
      <c r="S12" s="48"/>
      <c r="T12" s="20"/>
      <c r="U12" s="90" t="s">
        <v>63</v>
      </c>
      <c r="V12" s="20"/>
      <c r="W12" s="20"/>
      <c r="X12" s="20"/>
      <c r="Y12" s="49"/>
      <c r="Z12" s="20"/>
    </row>
    <row r="13" spans="1:36" s="34" customFormat="1" ht="100.8" x14ac:dyDescent="2">
      <c r="A13" s="33"/>
      <c r="B13" s="33"/>
      <c r="C13" s="160" t="str">
        <f>AJ2</f>
        <v>⬆</v>
      </c>
      <c r="D13" s="106"/>
      <c r="E13" s="32"/>
      <c r="F13" s="33"/>
      <c r="G13" s="33"/>
      <c r="H13" s="55"/>
      <c r="I13" s="77"/>
      <c r="J13" s="33"/>
      <c r="K13" s="165" t="str">
        <f>AJ3</f>
        <v>⬆</v>
      </c>
      <c r="L13" s="109"/>
      <c r="M13" s="55"/>
      <c r="N13" s="33"/>
      <c r="O13" s="33"/>
      <c r="P13" s="55"/>
      <c r="Q13" s="86"/>
      <c r="R13" s="33"/>
      <c r="S13" s="188" t="str">
        <f>AJ4</f>
        <v>⚠</v>
      </c>
      <c r="T13" s="111"/>
      <c r="U13" s="35"/>
      <c r="V13" s="33"/>
      <c r="W13" s="33"/>
      <c r="X13" s="55"/>
      <c r="Y13" s="50"/>
    </row>
    <row r="14" spans="1:36" s="34" customFormat="1" ht="45" customHeight="1" x14ac:dyDescent="2">
      <c r="A14" s="33"/>
      <c r="B14" s="33"/>
      <c r="C14" s="161"/>
      <c r="D14" s="32"/>
      <c r="E14" s="123" t="s">
        <v>39</v>
      </c>
      <c r="F14" s="33"/>
      <c r="G14" s="33"/>
      <c r="H14" s="123" t="s">
        <v>39</v>
      </c>
      <c r="I14" s="77"/>
      <c r="J14" s="33"/>
      <c r="K14" s="166"/>
      <c r="L14" s="39"/>
      <c r="M14" s="124" t="s">
        <v>39</v>
      </c>
      <c r="N14" s="33"/>
      <c r="O14" s="33"/>
      <c r="P14" s="123" t="s">
        <v>39</v>
      </c>
      <c r="Q14" s="86"/>
      <c r="R14" s="33"/>
      <c r="S14" s="189"/>
      <c r="T14" s="35"/>
      <c r="U14" s="130" t="s">
        <v>39</v>
      </c>
      <c r="V14" s="33"/>
      <c r="W14" s="33"/>
      <c r="X14" s="123" t="s">
        <v>39</v>
      </c>
      <c r="Y14" s="50"/>
    </row>
    <row r="15" spans="1:36" s="34" customFormat="1" ht="45" customHeight="1" x14ac:dyDescent="2">
      <c r="A15" s="33"/>
      <c r="B15" s="33"/>
      <c r="C15" s="161"/>
      <c r="D15" s="32"/>
      <c r="E15" s="87">
        <f>AD2</f>
        <v>23145</v>
      </c>
      <c r="F15" s="33"/>
      <c r="G15" s="33"/>
      <c r="H15" s="155">
        <v>1.8E-3</v>
      </c>
      <c r="I15" s="77"/>
      <c r="J15" s="33"/>
      <c r="K15" s="166"/>
      <c r="L15" s="39"/>
      <c r="M15" s="87">
        <f>AD3</f>
        <v>45120</v>
      </c>
      <c r="N15" s="33"/>
      <c r="O15" s="33"/>
      <c r="P15" s="155">
        <v>1.8E-3</v>
      </c>
      <c r="Q15" s="86"/>
      <c r="R15" s="33"/>
      <c r="S15" s="189"/>
      <c r="T15" s="35"/>
      <c r="U15" s="87">
        <f>AD4</f>
        <v>32120</v>
      </c>
      <c r="V15" s="33"/>
      <c r="W15" s="33"/>
      <c r="X15" s="155">
        <v>1.8E-3</v>
      </c>
      <c r="Y15" s="50"/>
    </row>
    <row r="16" spans="1:36" s="132" customFormat="1" ht="45" customHeight="1" x14ac:dyDescent="0.6">
      <c r="A16" s="125"/>
      <c r="B16" s="125"/>
      <c r="C16" s="126"/>
      <c r="D16" s="125"/>
      <c r="E16" s="42" t="s">
        <v>63</v>
      </c>
      <c r="F16" s="151"/>
      <c r="G16" s="125"/>
      <c r="H16" s="125"/>
      <c r="I16" s="127"/>
      <c r="J16" s="125"/>
      <c r="K16" s="167"/>
      <c r="L16" s="122"/>
      <c r="M16" s="42" t="s">
        <v>63</v>
      </c>
      <c r="N16" s="125"/>
      <c r="O16" s="125"/>
      <c r="P16" s="125"/>
      <c r="Q16" s="128"/>
      <c r="R16" s="125"/>
      <c r="S16" s="129"/>
      <c r="T16" s="125"/>
      <c r="U16" s="42" t="s">
        <v>63</v>
      </c>
      <c r="V16" s="125"/>
      <c r="W16" s="125"/>
      <c r="X16" s="125"/>
      <c r="Y16" s="131"/>
      <c r="Z16" s="125"/>
    </row>
    <row r="17" spans="1:33" s="29" customFormat="1" ht="67.8" x14ac:dyDescent="1.35">
      <c r="A17" s="28"/>
      <c r="B17" s="28"/>
      <c r="C17" s="78"/>
      <c r="D17" s="28"/>
      <c r="E17" s="153" t="s">
        <v>67</v>
      </c>
      <c r="F17" s="153"/>
      <c r="G17" s="28"/>
      <c r="H17" s="153" t="s">
        <v>67</v>
      </c>
      <c r="I17" s="162"/>
      <c r="J17" s="28"/>
      <c r="K17" s="168"/>
      <c r="L17" s="107"/>
      <c r="M17" s="153" t="s">
        <v>67</v>
      </c>
      <c r="N17" s="153"/>
      <c r="O17" s="28"/>
      <c r="P17" s="153" t="s">
        <v>67</v>
      </c>
      <c r="Q17" s="169"/>
      <c r="R17" s="28"/>
      <c r="S17" s="51"/>
      <c r="T17" s="28"/>
      <c r="U17" s="153" t="s">
        <v>67</v>
      </c>
      <c r="V17" s="153"/>
      <c r="W17" s="28"/>
      <c r="X17" s="153" t="s">
        <v>67</v>
      </c>
      <c r="Y17" s="190"/>
      <c r="Z17" s="87"/>
    </row>
    <row r="18" spans="1:33" s="24" customFormat="1" ht="67.8" x14ac:dyDescent="1.35">
      <c r="A18" s="20"/>
      <c r="B18" s="20"/>
      <c r="C18" s="75"/>
      <c r="D18" s="20"/>
      <c r="E18" s="152">
        <f>AF2</f>
        <v>1045</v>
      </c>
      <c r="F18" s="152"/>
      <c r="G18" s="20"/>
      <c r="H18" s="184">
        <v>7.0000000000000001E-3</v>
      </c>
      <c r="I18" s="184"/>
      <c r="J18" s="20"/>
      <c r="K18" s="84"/>
      <c r="L18" s="20"/>
      <c r="M18" s="152">
        <v>120</v>
      </c>
      <c r="N18" s="152"/>
      <c r="O18" s="20"/>
      <c r="P18" s="184">
        <v>7.0000000000000001E-3</v>
      </c>
      <c r="Q18" s="184"/>
      <c r="R18" s="20"/>
      <c r="S18" s="48"/>
      <c r="T18" s="20"/>
      <c r="U18" s="152">
        <f>AF4</f>
        <v>-1140</v>
      </c>
      <c r="V18" s="152"/>
      <c r="W18" s="20"/>
      <c r="X18" s="184">
        <v>7.0000000000000001E-3</v>
      </c>
      <c r="Y18" s="191"/>
      <c r="Z18" s="20"/>
    </row>
    <row r="19" spans="1:33" x14ac:dyDescent="0.4">
      <c r="A19" s="8"/>
      <c r="B19" s="8"/>
      <c r="C19" s="72"/>
      <c r="D19" s="8"/>
      <c r="E19" s="8"/>
      <c r="F19" s="8"/>
      <c r="G19" s="8"/>
      <c r="H19" s="9"/>
      <c r="I19" s="73"/>
      <c r="J19" s="8"/>
      <c r="K19" s="81"/>
      <c r="L19" s="8"/>
      <c r="M19" s="8"/>
      <c r="N19" s="8"/>
      <c r="O19" s="8"/>
      <c r="P19" s="9"/>
      <c r="Q19" s="82"/>
      <c r="R19" s="8"/>
      <c r="S19" s="45"/>
      <c r="T19" s="8"/>
      <c r="U19" s="8"/>
      <c r="V19" s="8"/>
      <c r="W19" s="8"/>
      <c r="X19" s="8"/>
      <c r="Y19" s="46"/>
      <c r="Z19" s="8"/>
    </row>
    <row r="20" spans="1:33" ht="0.6" customHeight="1" x14ac:dyDescent="0.4">
      <c r="A20" s="8"/>
      <c r="B20" s="8"/>
      <c r="C20" s="72"/>
      <c r="D20" s="8"/>
      <c r="E20" s="8"/>
      <c r="F20" s="8"/>
      <c r="G20" s="8"/>
      <c r="H20" s="9"/>
      <c r="I20" s="73"/>
      <c r="J20" s="8"/>
      <c r="K20" s="81"/>
      <c r="L20" s="8"/>
      <c r="M20" s="8"/>
      <c r="N20" s="8"/>
      <c r="O20" s="8"/>
      <c r="P20" s="9"/>
      <c r="Q20" s="82"/>
      <c r="R20" s="8"/>
      <c r="S20" s="45"/>
      <c r="T20" s="8"/>
      <c r="U20" s="8"/>
      <c r="V20" s="8"/>
      <c r="W20" s="8"/>
      <c r="X20" s="8"/>
      <c r="Y20" s="46"/>
      <c r="Z20" s="8"/>
    </row>
    <row r="21" spans="1:33" s="181" customFormat="1" ht="74.400000000000006" customHeight="1" x14ac:dyDescent="0.3">
      <c r="A21" s="172"/>
      <c r="B21" s="172"/>
      <c r="C21" s="173" t="s">
        <v>69</v>
      </c>
      <c r="D21" s="174"/>
      <c r="E21" s="174"/>
      <c r="F21" s="192">
        <v>0.86</v>
      </c>
      <c r="G21" s="175" t="s">
        <v>68</v>
      </c>
      <c r="H21" s="175"/>
      <c r="I21" s="176">
        <v>0.74</v>
      </c>
      <c r="J21" s="172"/>
      <c r="K21" s="177" t="s">
        <v>69</v>
      </c>
      <c r="L21" s="178"/>
      <c r="M21" s="178"/>
      <c r="N21" s="193">
        <v>0.64</v>
      </c>
      <c r="O21" s="179" t="s">
        <v>68</v>
      </c>
      <c r="P21" s="179"/>
      <c r="Q21" s="180">
        <v>0.66</v>
      </c>
      <c r="R21" s="172"/>
      <c r="S21" s="194" t="s">
        <v>69</v>
      </c>
      <c r="T21" s="195"/>
      <c r="U21" s="195"/>
      <c r="V21" s="196">
        <v>0.44</v>
      </c>
      <c r="W21" s="197" t="s">
        <v>68</v>
      </c>
      <c r="X21" s="197"/>
      <c r="Y21" s="198">
        <v>0.74</v>
      </c>
      <c r="Z21" s="172"/>
    </row>
    <row r="22" spans="1:33" ht="60.6" customHeight="1" x14ac:dyDescent="0.4">
      <c r="A22" s="8"/>
      <c r="B22" s="8"/>
      <c r="C22" s="8"/>
      <c r="D22" s="8"/>
      <c r="E22" s="8"/>
      <c r="F22" s="8"/>
      <c r="G22" s="8"/>
      <c r="H22" s="9"/>
      <c r="I22" s="8"/>
      <c r="J22" s="8"/>
      <c r="K22" s="8"/>
      <c r="L22" s="8"/>
      <c r="M22" s="8"/>
      <c r="N22" s="183"/>
      <c r="O22" s="8"/>
      <c r="P22" s="9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33" ht="38.4" x14ac:dyDescent="0.85">
      <c r="A23" s="8"/>
      <c r="B23" s="8"/>
      <c r="C23" s="134" t="s">
        <v>36</v>
      </c>
      <c r="D23" s="135"/>
      <c r="E23" s="135"/>
      <c r="F23" s="135"/>
      <c r="G23" s="135"/>
      <c r="H23" s="136"/>
      <c r="I23" s="137"/>
      <c r="J23" s="36"/>
      <c r="K23" s="41"/>
      <c r="L23" s="36"/>
      <c r="M23" s="36"/>
      <c r="N23" s="41"/>
      <c r="O23" s="41"/>
      <c r="P23" s="57"/>
      <c r="Q23" s="41"/>
      <c r="R23" s="41"/>
      <c r="S23" s="36"/>
      <c r="T23" s="36"/>
      <c r="U23" s="36"/>
      <c r="V23" s="36"/>
      <c r="W23" s="36"/>
      <c r="X23" s="36"/>
      <c r="Y23" s="37"/>
      <c r="Z23" s="8"/>
      <c r="AC23" s="2" t="s">
        <v>35</v>
      </c>
      <c r="AD23" s="2" t="s">
        <v>40</v>
      </c>
      <c r="AE23" s="2" t="s">
        <v>39</v>
      </c>
      <c r="AF23" s="2" t="s">
        <v>64</v>
      </c>
      <c r="AG23" t="s">
        <v>61</v>
      </c>
    </row>
    <row r="24" spans="1:33" ht="32.4" x14ac:dyDescent="0.7">
      <c r="A24" s="8"/>
      <c r="B24" s="8"/>
      <c r="C24" s="60" t="s">
        <v>65</v>
      </c>
      <c r="D24" s="60"/>
      <c r="E24" s="60"/>
      <c r="F24" s="60"/>
      <c r="G24" s="60"/>
      <c r="H24" s="61"/>
      <c r="I24" s="138"/>
      <c r="J24" s="8"/>
      <c r="K24" s="8"/>
      <c r="L24" s="8"/>
      <c r="M24" s="8"/>
      <c r="N24" s="31" t="s">
        <v>62</v>
      </c>
      <c r="O24" s="8"/>
      <c r="P24" s="9"/>
      <c r="Q24" s="8"/>
      <c r="R24" s="8"/>
      <c r="S24" s="8"/>
      <c r="T24" s="8"/>
      <c r="U24" s="8"/>
      <c r="V24" s="8"/>
      <c r="W24" s="8"/>
      <c r="X24" s="8"/>
      <c r="Y24" s="38"/>
      <c r="Z24" s="8"/>
      <c r="AC24" s="17">
        <v>46187</v>
      </c>
      <c r="AD24" s="7">
        <f>SUMIFS(
T_HISTORIQUE[DECLASSES],
T_HISTORIQUE[DATE],
AC24
)</f>
        <v>225</v>
      </c>
      <c r="AE24" s="7">
        <f>SUMIFS(
T_HISTORIQUE[REALISE],
T_HISTORIQUE[DATE],
AC24
)</f>
        <v>128140</v>
      </c>
      <c r="AF24" s="19">
        <f>IFERROR(AD24/AE24,0)</f>
        <v>1.7558919931325112E-3</v>
      </c>
      <c r="AG24" s="18">
        <f>1.5%</f>
        <v>1.4999999999999999E-2</v>
      </c>
    </row>
    <row r="25" spans="1:33" ht="29.4" x14ac:dyDescent="0.65">
      <c r="A25" s="8"/>
      <c r="B25" s="8"/>
      <c r="C25" s="30"/>
      <c r="D25" s="30"/>
      <c r="E25" s="30"/>
      <c r="F25" s="30"/>
      <c r="G25" s="21"/>
      <c r="H25" s="67"/>
      <c r="I25" s="133"/>
      <c r="J25" s="8"/>
      <c r="K25" s="8"/>
      <c r="L25" s="8"/>
      <c r="M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38"/>
      <c r="Z25" s="8"/>
      <c r="AA25"/>
      <c r="AB25"/>
      <c r="AC25" s="17">
        <v>46188</v>
      </c>
      <c r="AD25" s="7">
        <f>SUMIFS(
T_HISTORIQUE[DECLASSES],
T_HISTORIQUE[DATE],
AC25
)</f>
        <v>240</v>
      </c>
      <c r="AE25" s="7">
        <f>SUMIFS(
T_HISTORIQUE[REALISE],
T_HISTORIQUE[DATE],
AC25
)</f>
        <v>57170</v>
      </c>
      <c r="AF25" s="19">
        <f t="shared" ref="AF25:AF41" si="3">IFERROR(AD25/AE25,0)</f>
        <v>4.1980059471750921E-3</v>
      </c>
      <c r="AG25" s="18">
        <f t="shared" ref="AG25:AG41" si="4">1.5%</f>
        <v>1.4999999999999999E-2</v>
      </c>
    </row>
    <row r="26" spans="1:33" ht="29.4" x14ac:dyDescent="0.65">
      <c r="A26" s="8"/>
      <c r="B26" s="8"/>
      <c r="C26" s="30"/>
      <c r="D26" s="30"/>
      <c r="E26" s="30"/>
      <c r="F26" s="30"/>
      <c r="G26" s="21"/>
      <c r="H26" s="67"/>
      <c r="I26" s="133"/>
      <c r="J26" s="8"/>
      <c r="K26" s="8"/>
      <c r="L26" s="8"/>
      <c r="M26" s="8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38"/>
      <c r="Z26" s="8"/>
      <c r="AA26"/>
      <c r="AB26"/>
      <c r="AC26" s="17">
        <v>46189</v>
      </c>
      <c r="AD26" s="7">
        <f>SUMIFS(
T_HISTORIQUE[DECLASSES],
T_HISTORIQUE[DATE],
AC26
)</f>
        <v>185</v>
      </c>
      <c r="AE26" s="7">
        <f>SUMIFS(
T_HISTORIQUE[REALISE],
T_HISTORIQUE[DATE],
AC26
)</f>
        <v>69110</v>
      </c>
      <c r="AF26" s="19">
        <f t="shared" si="3"/>
        <v>2.6768919114455217E-3</v>
      </c>
      <c r="AG26" s="18">
        <f t="shared" si="4"/>
        <v>1.4999999999999999E-2</v>
      </c>
    </row>
    <row r="27" spans="1:33" ht="61.8" customHeight="1" x14ac:dyDescent="0.65">
      <c r="A27" s="8"/>
      <c r="B27" s="8"/>
      <c r="C27" s="100" t="s">
        <v>78</v>
      </c>
      <c r="D27" s="101"/>
      <c r="E27" s="101"/>
      <c r="F27" s="101"/>
      <c r="G27" s="102"/>
      <c r="H27" s="103">
        <f>SUMIFS(
T_HISTORIQUE[DECLASSES],
T_HISTORIQUE[DATE],
$AB$2
)</f>
        <v>244</v>
      </c>
      <c r="I27" s="133"/>
      <c r="J27" s="8"/>
      <c r="K27" s="8"/>
      <c r="L27" s="8"/>
      <c r="M27" s="8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38"/>
      <c r="Z27" s="8"/>
      <c r="AA27"/>
      <c r="AB27"/>
      <c r="AC27" s="17">
        <v>46190</v>
      </c>
      <c r="AD27" s="7">
        <f>SUMIFS(
T_HISTORIQUE[DECLASSES],
T_HISTORIQUE[DATE],
AC27
)</f>
        <v>206</v>
      </c>
      <c r="AE27" s="7">
        <f>SUMIFS(
T_HISTORIQUE[REALISE],
T_HISTORIQUE[DATE],
AC27
)</f>
        <v>75710</v>
      </c>
      <c r="AF27" s="19">
        <f t="shared" si="3"/>
        <v>2.720908730682869E-3</v>
      </c>
      <c r="AG27" s="18">
        <f t="shared" si="4"/>
        <v>1.4999999999999999E-2</v>
      </c>
    </row>
    <row r="28" spans="1:33" ht="24" customHeight="1" x14ac:dyDescent="0.65">
      <c r="A28" s="8"/>
      <c r="B28" s="8"/>
      <c r="C28" s="30"/>
      <c r="D28" s="30"/>
      <c r="E28" s="30"/>
      <c r="F28" s="30"/>
      <c r="G28" s="21"/>
      <c r="H28" s="56"/>
      <c r="I28" s="133"/>
      <c r="J28" s="8"/>
      <c r="K28" s="8"/>
      <c r="L28" s="8"/>
      <c r="M28" s="8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38"/>
      <c r="Z28" s="8"/>
      <c r="AA28"/>
      <c r="AB28"/>
      <c r="AC28" s="17">
        <v>46191</v>
      </c>
      <c r="AD28" s="7">
        <f>SUMIFS(
T_HISTORIQUE[DECLASSES],
T_HISTORIQUE[DATE],
AC28
)</f>
        <v>201</v>
      </c>
      <c r="AE28" s="7">
        <f>SUMIFS(
T_HISTORIQUE[REALISE],
T_HISTORIQUE[DATE],
AC28
)</f>
        <v>70130</v>
      </c>
      <c r="AF28" s="19">
        <f t="shared" si="3"/>
        <v>2.8661058035077715E-3</v>
      </c>
      <c r="AG28" s="18">
        <f t="shared" si="4"/>
        <v>1.4999999999999999E-2</v>
      </c>
    </row>
    <row r="29" spans="1:33" ht="67.8" x14ac:dyDescent="0.65">
      <c r="A29" s="8"/>
      <c r="B29" s="8"/>
      <c r="C29" s="101" t="s">
        <v>79</v>
      </c>
      <c r="D29" s="101"/>
      <c r="E29" s="101"/>
      <c r="F29" s="101"/>
      <c r="G29" s="102"/>
      <c r="H29" s="104">
        <f>SUMIFS(
T_HISTORIQUE[REALISE],
T_HISTORIQUE[DATE],
$AB$2
)</f>
        <v>100385</v>
      </c>
      <c r="I29" s="133"/>
      <c r="J29" s="8"/>
      <c r="K29" s="8"/>
      <c r="L29" s="8"/>
      <c r="M29" s="8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38"/>
      <c r="Z29" s="8"/>
      <c r="AA29"/>
      <c r="AB29"/>
      <c r="AC29" s="17">
        <v>46192</v>
      </c>
      <c r="AD29" s="7">
        <f>SUMIFS(
T_HISTORIQUE[DECLASSES],
T_HISTORIQUE[DATE],
AC29
)</f>
        <v>154</v>
      </c>
      <c r="AE29" s="7">
        <f>SUMIFS(
T_HISTORIQUE[REALISE],
T_HISTORIQUE[DATE],
AC29
)</f>
        <v>125665</v>
      </c>
      <c r="AF29" s="19">
        <f t="shared" si="3"/>
        <v>1.2254804440377193E-3</v>
      </c>
      <c r="AG29" s="18">
        <f t="shared" si="4"/>
        <v>1.4999999999999999E-2</v>
      </c>
    </row>
    <row r="30" spans="1:33" ht="27.6" customHeight="1" x14ac:dyDescent="0.65">
      <c r="A30" s="8"/>
      <c r="B30" s="8"/>
      <c r="C30" s="30"/>
      <c r="D30" s="30"/>
      <c r="E30" s="30"/>
      <c r="F30" s="30"/>
      <c r="G30" s="21"/>
      <c r="H30" s="56"/>
      <c r="I30" s="133"/>
      <c r="J30" s="8"/>
      <c r="K30" s="8"/>
      <c r="L30" s="8"/>
      <c r="M30" s="8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38"/>
      <c r="Z30" s="8"/>
      <c r="AC30" s="17">
        <v>46193</v>
      </c>
      <c r="AD30" s="7">
        <f>SUMIFS(
T_HISTORIQUE[DECLASSES],
T_HISTORIQUE[DATE],
AC30
)</f>
        <v>244</v>
      </c>
      <c r="AE30" s="7">
        <f>SUMIFS(
T_HISTORIQUE[REALISE],
T_HISTORIQUE[DATE],
AC30
)</f>
        <v>100385</v>
      </c>
      <c r="AF30" s="19">
        <f t="shared" si="3"/>
        <v>2.4306420281914628E-3</v>
      </c>
      <c r="AG30" s="18">
        <f t="shared" si="4"/>
        <v>1.4999999999999999E-2</v>
      </c>
    </row>
    <row r="31" spans="1:33" ht="67.8" x14ac:dyDescent="0.65">
      <c r="A31" s="8"/>
      <c r="B31" s="8"/>
      <c r="C31" s="100" t="s">
        <v>80</v>
      </c>
      <c r="D31" s="101"/>
      <c r="E31" s="101"/>
      <c r="F31" s="101"/>
      <c r="G31" s="102"/>
      <c r="H31" s="105">
        <f>IFERROR(AB11/AC11,0)</f>
        <v>0</v>
      </c>
      <c r="I31" s="133"/>
      <c r="J31" s="8"/>
      <c r="K31" s="8"/>
      <c r="L31" s="8"/>
      <c r="M31" s="8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38"/>
      <c r="Z31" s="8"/>
      <c r="AC31" s="17">
        <v>46194</v>
      </c>
      <c r="AD31" s="7">
        <f>SUMIFS(
T_HISTORIQUE[DECLASSES],
T_HISTORIQUE[DATE],
AC31
)</f>
        <v>0</v>
      </c>
      <c r="AE31" s="7">
        <f>SUMIFS(
T_HISTORIQUE[REALISE],
T_HISTORIQUE[DATE],
AC31
)</f>
        <v>0</v>
      </c>
      <c r="AF31" s="19">
        <f t="shared" si="3"/>
        <v>0</v>
      </c>
      <c r="AG31" s="18">
        <f t="shared" si="4"/>
        <v>1.4999999999999999E-2</v>
      </c>
    </row>
    <row r="32" spans="1:33" ht="25.8" customHeight="1" x14ac:dyDescent="0.65">
      <c r="A32" s="8"/>
      <c r="B32" s="8"/>
      <c r="C32" s="30"/>
      <c r="D32" s="30"/>
      <c r="E32" s="30"/>
      <c r="F32" s="30"/>
      <c r="G32" s="21"/>
      <c r="H32" s="56"/>
      <c r="I32" s="133"/>
      <c r="J32" s="8"/>
      <c r="K32" s="8"/>
      <c r="L32" s="8"/>
      <c r="M32" s="8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38"/>
      <c r="AC32" s="17">
        <v>46195</v>
      </c>
      <c r="AD32" s="7">
        <f>SUMIFS(
T_HISTORIQUE[DECLASSES],
T_HISTORIQUE[DATE],
AC32
)</f>
        <v>0</v>
      </c>
      <c r="AE32" s="7">
        <f>SUMIFS(
T_HISTORIQUE[REALISE],
T_HISTORIQUE[DATE],
AC32
)</f>
        <v>0</v>
      </c>
      <c r="AF32" s="19">
        <f t="shared" si="3"/>
        <v>0</v>
      </c>
      <c r="AG32" s="18">
        <f t="shared" si="4"/>
        <v>1.4999999999999999E-2</v>
      </c>
    </row>
    <row r="33" spans="1:33" ht="67.8" x14ac:dyDescent="0.65">
      <c r="A33" s="8"/>
      <c r="B33" s="8"/>
      <c r="C33" s="101" t="s">
        <v>81</v>
      </c>
      <c r="D33" s="101"/>
      <c r="E33" s="101"/>
      <c r="F33" s="101"/>
      <c r="G33" s="102"/>
      <c r="H33" s="103" t="str">
        <f>"≤ "&amp;TEXT(1.5%,"0,00%")</f>
        <v>≤ 1,50%</v>
      </c>
      <c r="I33" s="133"/>
      <c r="J33" s="8"/>
      <c r="K33" s="8"/>
      <c r="L33" s="8"/>
      <c r="M33" s="8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38"/>
      <c r="AC33" s="17">
        <v>46196</v>
      </c>
      <c r="AD33" s="7">
        <f>SUMIFS(
T_HISTORIQUE[DECLASSES],
T_HISTORIQUE[DATE],
AC33
)</f>
        <v>0</v>
      </c>
      <c r="AE33" s="7">
        <f>SUMIFS(
T_HISTORIQUE[REALISE],
T_HISTORIQUE[DATE],
AC33
)</f>
        <v>0</v>
      </c>
      <c r="AF33" s="19">
        <f t="shared" si="3"/>
        <v>0</v>
      </c>
      <c r="AG33" s="18">
        <f t="shared" si="4"/>
        <v>1.4999999999999999E-2</v>
      </c>
    </row>
    <row r="34" spans="1:33" ht="29.4" x14ac:dyDescent="0.65">
      <c r="A34" s="8"/>
      <c r="B34" s="8"/>
      <c r="C34" s="139"/>
      <c r="D34" s="139"/>
      <c r="E34" s="139"/>
      <c r="F34" s="139"/>
      <c r="G34" s="140"/>
      <c r="H34" s="141"/>
      <c r="I34" s="142"/>
      <c r="J34" s="8"/>
      <c r="K34" s="8"/>
      <c r="L34" s="8"/>
      <c r="M34" s="8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38"/>
      <c r="AC34" s="17">
        <v>46197</v>
      </c>
      <c r="AD34" s="7">
        <f>SUMIFS(
T_HISTORIQUE[DECLASSES],
T_HISTORIQUE[DATE],
AC34
)</f>
        <v>0</v>
      </c>
      <c r="AE34" s="7">
        <f>SUMIFS(
T_HISTORIQUE[REALISE],
T_HISTORIQUE[DATE],
AC34
)</f>
        <v>0</v>
      </c>
      <c r="AF34" s="19">
        <f t="shared" si="3"/>
        <v>0</v>
      </c>
      <c r="AG34" s="18">
        <f t="shared" si="4"/>
        <v>1.4999999999999999E-2</v>
      </c>
    </row>
    <row r="35" spans="1:33" ht="29.4" x14ac:dyDescent="0.65">
      <c r="A35" s="8"/>
      <c r="B35" s="8"/>
      <c r="C35" s="21"/>
      <c r="D35" s="21"/>
      <c r="E35" s="21"/>
      <c r="F35" s="21"/>
      <c r="G35" s="21"/>
      <c r="H35" s="67"/>
      <c r="I35" s="21"/>
      <c r="J35" s="8"/>
      <c r="K35" s="8"/>
      <c r="L35" s="8"/>
      <c r="M35" s="8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38"/>
      <c r="AC35" s="17">
        <v>46198</v>
      </c>
      <c r="AD35" s="7">
        <f>SUMIFS(
T_HISTORIQUE[DECLASSES],
T_HISTORIQUE[DATE],
AC35
)</f>
        <v>0</v>
      </c>
      <c r="AE35" s="7">
        <f>SUMIFS(
T_HISTORIQUE[REALISE],
T_HISTORIQUE[DATE],
AC35
)</f>
        <v>0</v>
      </c>
      <c r="AF35" s="19">
        <f t="shared" si="3"/>
        <v>0</v>
      </c>
      <c r="AG35" s="18">
        <f t="shared" si="4"/>
        <v>1.4999999999999999E-2</v>
      </c>
    </row>
    <row r="36" spans="1:33" ht="27.6" customHeight="1" x14ac:dyDescent="0.65">
      <c r="A36" s="8"/>
      <c r="B36" s="8"/>
      <c r="C36" s="30"/>
      <c r="D36" s="30"/>
      <c r="E36" s="30"/>
      <c r="F36" s="30"/>
      <c r="G36" s="21"/>
      <c r="H36" s="62"/>
      <c r="I36" s="21"/>
      <c r="J36" s="8"/>
      <c r="K36" s="8"/>
      <c r="L36" s="8"/>
      <c r="M36" s="8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38"/>
      <c r="AC36" s="17">
        <v>46199</v>
      </c>
      <c r="AD36" s="7">
        <f>SUMIFS(
T_HISTORIQUE[DECLASSES],
T_HISTORIQUE[DATE],
AC36
)</f>
        <v>0</v>
      </c>
      <c r="AE36" s="7">
        <f>SUMIFS(
T_HISTORIQUE[REALISE],
T_HISTORIQUE[DATE],
AC36
)</f>
        <v>0</v>
      </c>
      <c r="AF36" s="19">
        <f t="shared" si="3"/>
        <v>0</v>
      </c>
      <c r="AG36" s="18">
        <f t="shared" si="4"/>
        <v>1.4999999999999999E-2</v>
      </c>
    </row>
    <row r="37" spans="1:33" hidden="1" x14ac:dyDescent="0.4">
      <c r="A37" s="8"/>
      <c r="B37" s="8"/>
      <c r="C37" s="68"/>
      <c r="D37" s="68"/>
      <c r="E37" s="68"/>
      <c r="F37" s="68"/>
      <c r="G37" s="68"/>
      <c r="H37" s="69"/>
      <c r="I37" s="65"/>
      <c r="J37" s="65"/>
      <c r="K37" s="8"/>
      <c r="L37" s="8"/>
      <c r="M37" s="8"/>
      <c r="N37" s="8"/>
      <c r="O37" s="8"/>
      <c r="P37" s="9"/>
      <c r="Q37" s="8"/>
      <c r="R37" s="8"/>
      <c r="S37" s="8"/>
      <c r="T37" s="8"/>
      <c r="U37" s="8"/>
      <c r="V37" s="8"/>
      <c r="W37" s="8"/>
      <c r="X37" s="8"/>
      <c r="Y37" s="38"/>
      <c r="AC37" s="17">
        <v>46200</v>
      </c>
      <c r="AD37" s="7">
        <f>SUMIFS(
T_HISTORIQUE[DECLASSES],
T_HISTORIQUE[DATE],
AC37
)</f>
        <v>0</v>
      </c>
      <c r="AE37" s="7">
        <f>SUMIFS(
T_HISTORIQUE[REALISE],
T_HISTORIQUE[DATE],
AC37
)</f>
        <v>0</v>
      </c>
      <c r="AF37" s="19">
        <f t="shared" si="3"/>
        <v>0</v>
      </c>
      <c r="AG37" s="18">
        <f t="shared" si="4"/>
        <v>1.4999999999999999E-2</v>
      </c>
    </row>
    <row r="38" spans="1:33" ht="85.8" customHeight="1" x14ac:dyDescent="0.4">
      <c r="A38" s="8"/>
      <c r="B38" s="8"/>
      <c r="C38" s="91" t="s">
        <v>70</v>
      </c>
      <c r="D38" s="64"/>
      <c r="E38" s="64"/>
      <c r="F38" s="64"/>
      <c r="G38" s="63"/>
      <c r="H38" s="92" t="str">
        <f>IF(AD11&lt;=1.5%,"CONFORME",
IF(AD11&lt;=2%,"SURVEILLANCE",
"ACTION"))</f>
        <v>CONFORME</v>
      </c>
      <c r="I38" s="63"/>
      <c r="J38" s="66"/>
      <c r="K38" s="143"/>
      <c r="L38" s="143"/>
      <c r="M38" s="143"/>
      <c r="N38" s="146" t="s">
        <v>73</v>
      </c>
      <c r="O38" s="146"/>
      <c r="P38" s="146"/>
      <c r="Q38" s="146"/>
      <c r="R38" s="146"/>
      <c r="S38" s="146"/>
      <c r="T38" s="146"/>
      <c r="U38" s="156"/>
      <c r="V38" s="143"/>
      <c r="W38" s="143"/>
      <c r="X38" s="147" t="s">
        <v>72</v>
      </c>
      <c r="Y38" s="144"/>
      <c r="AC38" s="17">
        <v>46201</v>
      </c>
      <c r="AD38" s="7">
        <f>SUMIFS(
T_HISTORIQUE[DECLASSES],
T_HISTORIQUE[DATE],
AC38
)</f>
        <v>0</v>
      </c>
      <c r="AE38" s="7">
        <f>SUMIFS(
T_HISTORIQUE[REALISE],
T_HISTORIQUE[DATE],
AC38
)</f>
        <v>0</v>
      </c>
      <c r="AF38" s="19">
        <f t="shared" si="3"/>
        <v>0</v>
      </c>
      <c r="AG38" s="18">
        <f t="shared" si="4"/>
        <v>1.4999999999999999E-2</v>
      </c>
    </row>
    <row r="39" spans="1:33" x14ac:dyDescent="0.4">
      <c r="C39" s="8"/>
      <c r="D39" s="8"/>
      <c r="E39" s="8"/>
      <c r="F39" s="8"/>
      <c r="G39" s="8"/>
      <c r="H39" s="9"/>
      <c r="I39" s="8"/>
      <c r="J39" s="8"/>
      <c r="K39" s="8"/>
      <c r="L39" s="8"/>
      <c r="M39" s="8"/>
      <c r="N39" s="8"/>
      <c r="O39" s="8"/>
      <c r="P39" s="9"/>
      <c r="Q39" s="8"/>
      <c r="R39" s="8"/>
      <c r="S39" s="8"/>
      <c r="T39" s="8"/>
      <c r="U39" s="8"/>
      <c r="V39" s="8"/>
      <c r="W39" s="8"/>
      <c r="X39" s="8"/>
      <c r="Y39" s="8"/>
      <c r="AC39" s="17">
        <v>46202</v>
      </c>
      <c r="AD39" s="7">
        <f>SUMIFS(
T_HISTORIQUE[DECLASSES],
T_HISTORIQUE[DATE],
AC39
)</f>
        <v>0</v>
      </c>
      <c r="AE39" s="7">
        <f>SUMIFS(
T_HISTORIQUE[REALISE],
T_HISTORIQUE[DATE],
AC39
)</f>
        <v>0</v>
      </c>
      <c r="AF39" s="19">
        <f t="shared" si="3"/>
        <v>0</v>
      </c>
      <c r="AG39" s="18">
        <f t="shared" si="4"/>
        <v>1.4999999999999999E-2</v>
      </c>
    </row>
    <row r="40" spans="1:33" x14ac:dyDescent="0.4">
      <c r="AC40" s="17">
        <v>46203</v>
      </c>
      <c r="AD40" s="7">
        <f>SUMIFS(
T_HISTORIQUE[DECLASSES],
T_HISTORIQUE[DATE],
AC40
)</f>
        <v>0</v>
      </c>
      <c r="AE40" s="7">
        <f>SUMIFS(
T_HISTORIQUE[REALISE],
T_HISTORIQUE[DATE],
AC40
)</f>
        <v>0</v>
      </c>
      <c r="AF40" s="19">
        <f t="shared" si="3"/>
        <v>0</v>
      </c>
      <c r="AG40" s="18">
        <f t="shared" si="4"/>
        <v>1.4999999999999999E-2</v>
      </c>
    </row>
    <row r="41" spans="1:33" x14ac:dyDescent="0.4">
      <c r="AC41" s="17">
        <v>46204</v>
      </c>
      <c r="AD41" s="7">
        <f>SUMIFS(
T_HISTORIQUE[DECLASSES],
T_HISTORIQUE[DATE],
AC41
)</f>
        <v>0</v>
      </c>
      <c r="AE41" s="7">
        <f>SUMIFS(
T_HISTORIQUE[REALISE],
T_HISTORIQUE[DATE],
AC41
)</f>
        <v>0</v>
      </c>
      <c r="AF41" s="19">
        <f t="shared" si="3"/>
        <v>0</v>
      </c>
      <c r="AG41" s="18">
        <f t="shared" si="4"/>
        <v>1.4999999999999999E-2</v>
      </c>
    </row>
  </sheetData>
  <mergeCells count="27">
    <mergeCell ref="N38:T38"/>
    <mergeCell ref="C9:F9"/>
    <mergeCell ref="K9:N9"/>
    <mergeCell ref="E17:F17"/>
    <mergeCell ref="H17:I17"/>
    <mergeCell ref="M17:N17"/>
    <mergeCell ref="M18:N18"/>
    <mergeCell ref="P17:Q17"/>
    <mergeCell ref="S9:V9"/>
    <mergeCell ref="H18:I18"/>
    <mergeCell ref="P18:Q18"/>
    <mergeCell ref="S10:T10"/>
    <mergeCell ref="S13:T13"/>
    <mergeCell ref="U18:V18"/>
    <mergeCell ref="C7:I7"/>
    <mergeCell ref="K7:Q7"/>
    <mergeCell ref="S7:Y7"/>
    <mergeCell ref="C10:D10"/>
    <mergeCell ref="X17:Y17"/>
    <mergeCell ref="X18:Y18"/>
    <mergeCell ref="C13:D13"/>
    <mergeCell ref="E18:F18"/>
    <mergeCell ref="K10:L10"/>
    <mergeCell ref="K13:L13"/>
    <mergeCell ref="K17:L17"/>
    <mergeCell ref="K16:L16"/>
    <mergeCell ref="U17:V17"/>
  </mergeCells>
  <pageMargins left="0.7" right="0.7" top="0.75" bottom="0.75" header="0.3" footer="0.3"/>
  <pageSetup paperSize="8" scale="41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01_PARAMETRES</vt:lpstr>
      <vt:lpstr>02_SAISIE_JOUR</vt:lpstr>
      <vt:lpstr>03_HISTORIQUE</vt:lpstr>
      <vt:lpstr>04_KPI</vt:lpstr>
      <vt:lpstr>05_DASHBOARD_JOUR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PROPRIETAIRE</dc:creator>
  <cp:lastModifiedBy>PROPRIETAIRE</cp:lastModifiedBy>
  <cp:lastPrinted>2026-07-07T17:24:00Z</cp:lastPrinted>
  <dcterms:created xsi:type="dcterms:W3CDTF">2026-06-20T20:01:04Z</dcterms:created>
  <dcterms:modified xsi:type="dcterms:W3CDTF">2026-07-07T18:12:16Z</dcterms:modified>
</cp:coreProperties>
</file>