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OPRIETAIRE\Desktop\data analytics\daily-performance-board\excel\"/>
    </mc:Choice>
  </mc:AlternateContent>
  <xr:revisionPtr revIDLastSave="0" documentId="13_ncr:1_{1F277DEE-A34A-4472-A78A-5140C9E9AA7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dashboard" sheetId="1" r:id="rId1"/>
    <sheet name="params" sheetId="3" r:id="rId2"/>
    <sheet name="data" sheetId="2" r:id="rId3"/>
  </sheets>
  <definedNames>
    <definedName name="_xlchart.v1.0" hidden="1">data!$A$2:$A$11</definedName>
    <definedName name="_xlchart.v1.1" hidden="1">data!$B$2:$B$11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E15" i="1" s="1"/>
  <c r="E12" i="1"/>
  <c r="G12" i="1"/>
  <c r="J12" i="1"/>
  <c r="K12" i="1"/>
  <c r="E17" i="1" s="1"/>
  <c r="L6" i="1"/>
  <c r="N6" i="1" s="1"/>
  <c r="Q6" i="1" s="1"/>
  <c r="A2" i="3"/>
  <c r="L7" i="1"/>
  <c r="N7" i="1" s="1"/>
  <c r="Q7" i="1" s="1"/>
  <c r="L8" i="1"/>
  <c r="N8" i="1" s="1"/>
  <c r="Q8" i="1" s="1"/>
  <c r="L9" i="1"/>
  <c r="N9" i="1" s="1"/>
  <c r="Q9" i="1" s="1"/>
  <c r="L10" i="1"/>
  <c r="N10" i="1" s="1"/>
  <c r="Q10" i="1" s="1"/>
  <c r="L11" i="1"/>
  <c r="N11" i="1" s="1"/>
  <c r="Q11" i="1" s="1"/>
  <c r="A6" i="3"/>
  <c r="A3" i="3"/>
  <c r="A5" i="3"/>
  <c r="A4" i="3"/>
  <c r="A7" i="3"/>
  <c r="L12" i="1" l="1"/>
  <c r="N12" i="1" s="1"/>
  <c r="Q12" i="1" s="1"/>
  <c r="B5" i="3"/>
  <c r="B3" i="3"/>
  <c r="B6" i="3"/>
  <c r="B7" i="3"/>
  <c r="B2" i="3"/>
  <c r="B4" i="3"/>
  <c r="C2" i="3" l="1"/>
  <c r="C3" i="3"/>
  <c r="C4" i="3"/>
  <c r="C5" i="3"/>
  <c r="C6" i="3"/>
  <c r="C7" i="3"/>
  <c r="E16" i="1"/>
</calcChain>
</file>

<file path=xl/sharedStrings.xml><?xml version="1.0" encoding="utf-8"?>
<sst xmlns="http://schemas.openxmlformats.org/spreadsheetml/2006/main" count="71" uniqueCount="67">
  <si>
    <t>MS</t>
  </si>
  <si>
    <t>ES50</t>
  </si>
  <si>
    <t>XY</t>
  </si>
  <si>
    <t>Z</t>
  </si>
  <si>
    <t>COULO 2</t>
  </si>
  <si>
    <t>JEUDI</t>
  </si>
  <si>
    <t>MERCREDI</t>
  </si>
  <si>
    <t>MARDI</t>
  </si>
  <si>
    <t>LUNDI</t>
  </si>
  <si>
    <t>MACHINE</t>
  </si>
  <si>
    <t>VENDREDI</t>
  </si>
  <si>
    <t>MOYENNE 
ATELIER</t>
  </si>
  <si>
    <t>STATUT</t>
  </si>
  <si>
    <r>
      <t xml:space="preserve">PERFORMANCE QUOTIDIENNE - ATELIER OVALE
</t>
    </r>
    <r>
      <rPr>
        <b/>
        <sz val="12"/>
        <color theme="4" tint="-0.499984740745262"/>
        <rFont val="Calibri Light"/>
        <family val="2"/>
        <scheme val="major"/>
      </rPr>
      <t>Suivi de la performance par machine, objectifs, résultats et tendances</t>
    </r>
  </si>
  <si>
    <t>OBJECTIF
(%)</t>
  </si>
  <si>
    <t>MOYENNE
 SEMAINE (%)</t>
  </si>
  <si>
    <t>VS SEMAINE
PRECEDENTE (pts)</t>
  </si>
  <si>
    <t>FIABILITE CONDITIONNEMENT (%)</t>
  </si>
  <si>
    <t xml:space="preserve">          OBJECTIF ATELIER</t>
  </si>
  <si>
    <t xml:space="preserve">          CETTE SEMAINE</t>
  </si>
  <si>
    <t xml:space="preserve">          EVOLUTION</t>
  </si>
  <si>
    <t>S20</t>
  </si>
  <si>
    <t>S21</t>
  </si>
  <si>
    <t>S22</t>
  </si>
  <si>
    <t>S23</t>
  </si>
  <si>
    <t>S24</t>
  </si>
  <si>
    <t>S25</t>
  </si>
  <si>
    <t>S26</t>
  </si>
  <si>
    <t>COMMENTAIRES</t>
  </si>
  <si>
    <t>ACTIONS PRIOTAIRES</t>
  </si>
  <si>
    <t>NOTRE OBJECTIF: ATTEINDRE ET MAINTENIR 65% DE FIABILITE DE CONDITIONNEMENT</t>
  </si>
  <si>
    <t>ÉCART VS
OBJECTIF (pts)</t>
  </si>
  <si>
    <t>INDICATEURS CLÉS</t>
  </si>
  <si>
    <t>CUMUL</t>
  </si>
  <si>
    <t>MACHINES</t>
  </si>
  <si>
    <t>CONTRIBUTIONS</t>
  </si>
  <si>
    <t>PARETO</t>
  </si>
  <si>
    <t>LEGENDE STATUT</t>
  </si>
  <si>
    <t>CONFORME</t>
  </si>
  <si>
    <t>SOUS CONTRÔLE</t>
  </si>
  <si>
    <t>ACTION IMMEDIATE</t>
  </si>
  <si>
    <t>S14</t>
  </si>
  <si>
    <t>S15</t>
  </si>
  <si>
    <t>S16</t>
  </si>
  <si>
    <t>S17</t>
  </si>
  <si>
    <t>S18</t>
  </si>
  <si>
    <t>S19</t>
  </si>
  <si>
    <t>SEMAINE:   
27</t>
  </si>
  <si>
    <t>ÉQUIPE: 
MATIN / SOIR / NUIT</t>
  </si>
  <si>
    <t>MISE Á JOUR:  
8H00</t>
  </si>
  <si>
    <t>DATE
20/06/2026</t>
  </si>
  <si>
    <t>②  XY : fiabiliser les réglages.</t>
  </si>
  <si>
    <t>①  Performance atelier (56,6 %), en progression.</t>
  </si>
  <si>
    <t>ECART ENTRE : 0 &gt; Écart &gt; -5 pts</t>
  </si>
  <si>
    <t>Écart ≤ -5 pts</t>
  </si>
  <si>
    <t>Écart ≥ 0 pt</t>
  </si>
  <si>
    <t>C 2</t>
  </si>
  <si>
    <t>②  C 2 représente à lui seul 53 % de l'écart.</t>
  </si>
  <si>
    <t>③  XY et C 1 portent le cumul à 82 %.</t>
  </si>
  <si>
    <t>③ C 1 &amp; Z : renforcer le suivi.</t>
  </si>
  <si>
    <t>①  C 2 : traiter les causes majeures.</t>
  </si>
  <si>
    <t>C 1</t>
  </si>
  <si>
    <t>M</t>
  </si>
  <si>
    <t>E</t>
  </si>
  <si>
    <t>④  M &amp; E : déployer les bonnes pratiques.</t>
  </si>
  <si>
    <t>④  M et E restent les équipements les plus performants.</t>
  </si>
  <si>
    <t xml:space="preserve">          SEMAINE 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</si>
</sst>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9" formatCode="\+0&quot; pts&quot;;\-0&quot; pts&quot;;0&quot; pt&quot;"/>
    <numFmt numFmtId="173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20"/>
      <color theme="4" tint="-0.499984740745262"/>
      <name val="Calibri Light"/>
      <family val="2"/>
      <scheme val="major"/>
    </font>
    <font>
      <b/>
      <sz val="12"/>
      <color theme="4" tint="-0.499984740745262"/>
      <name val="Calibri Light"/>
      <family val="2"/>
      <scheme val="major"/>
    </font>
    <font>
      <b/>
      <sz val="12"/>
      <color theme="0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1"/>
      <name val="Verdana"/>
      <family val="2"/>
    </font>
    <font>
      <b/>
      <sz val="16"/>
      <color theme="4" tint="-0.499984740745262"/>
      <name val="Verdana"/>
      <family val="2"/>
    </font>
    <font>
      <b/>
      <sz val="16"/>
      <color rgb="FFFF0000"/>
      <name val="Verdana"/>
      <family val="2"/>
    </font>
    <font>
      <sz val="16"/>
      <color theme="1"/>
      <name val="Verdana"/>
      <family val="2"/>
    </font>
    <font>
      <b/>
      <sz val="16"/>
      <color rgb="FF00B050"/>
      <name val="Verdana"/>
      <family val="2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2" tint="-0.249977111117893"/>
      </bottom>
      <diagonal/>
    </border>
    <border>
      <left/>
      <right/>
      <top style="thin">
        <color theme="0" tint="-4.9989318521683403E-2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0" tint="-4.9989318521683403E-2"/>
      </top>
      <bottom style="thin">
        <color theme="2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2" tint="-0.249977111117893"/>
      </bottom>
      <diagonal/>
    </border>
    <border>
      <left style="thin">
        <color theme="0" tint="-4.9989318521683403E-2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4.9989318521683403E-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4.9989318521683403E-2"/>
      </left>
      <right/>
      <top style="thin">
        <color theme="2" tint="-0.249977111117893"/>
      </top>
      <bottom style="thin">
        <color theme="0" tint="-4.9989318521683403E-2"/>
      </bottom>
      <diagonal/>
    </border>
    <border>
      <left/>
      <right style="thin">
        <color theme="2" tint="-0.249977111117893"/>
      </right>
      <top/>
      <bottom style="thin">
        <color theme="0" tint="-4.9989318521683403E-2"/>
      </bottom>
      <diagonal/>
    </border>
    <border>
      <left/>
      <right/>
      <top style="thin">
        <color theme="2" tint="-0.249977111117893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2" tint="-0.249977111117893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2" tint="-0.249977111117893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2" tint="-0.249977111117893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2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Border="1"/>
    <xf numFmtId="0" fontId="0" fillId="0" borderId="9" xfId="0" applyBorder="1"/>
    <xf numFmtId="0" fontId="0" fillId="0" borderId="11" xfId="0" applyBorder="1"/>
    <xf numFmtId="0" fontId="10" fillId="0" borderId="0" xfId="0" applyFont="1"/>
    <xf numFmtId="0" fontId="11" fillId="0" borderId="0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vertical="top" wrapText="1"/>
    </xf>
    <xf numFmtId="0" fontId="0" fillId="0" borderId="6" xfId="0" applyBorder="1"/>
    <xf numFmtId="0" fontId="0" fillId="0" borderId="0" xfId="0" applyBorder="1"/>
    <xf numFmtId="0" fontId="0" fillId="0" borderId="10" xfId="0" applyBorder="1"/>
    <xf numFmtId="0" fontId="5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9" fontId="9" fillId="0" borderId="0" xfId="0" applyNumberFormat="1" applyFont="1" applyBorder="1"/>
    <xf numFmtId="0" fontId="9" fillId="0" borderId="0" xfId="0" applyFont="1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9" fontId="0" fillId="0" borderId="0" xfId="2" applyFont="1"/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9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173" fontId="18" fillId="0" borderId="10" xfId="0" applyNumberFormat="1" applyFont="1" applyFill="1" applyBorder="1" applyAlignment="1">
      <alignment horizontal="center" vertical="center"/>
    </xf>
    <xf numFmtId="173" fontId="18" fillId="0" borderId="3" xfId="0" applyNumberFormat="1" applyFont="1" applyFill="1" applyBorder="1" applyAlignment="1">
      <alignment horizontal="center" vertical="center"/>
    </xf>
    <xf numFmtId="173" fontId="19" fillId="0" borderId="3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top" wrapText="1"/>
    </xf>
    <xf numFmtId="0" fontId="7" fillId="0" borderId="0" xfId="0" applyFont="1"/>
    <xf numFmtId="169" fontId="17" fillId="0" borderId="11" xfId="2" applyNumberFormat="1" applyFont="1" applyFill="1" applyBorder="1" applyAlignment="1">
      <alignment horizontal="center" vertical="center"/>
    </xf>
    <xf numFmtId="0" fontId="13" fillId="0" borderId="14" xfId="0" applyFont="1" applyBorder="1"/>
    <xf numFmtId="0" fontId="4" fillId="0" borderId="15" xfId="0" applyFont="1" applyBorder="1"/>
    <xf numFmtId="0" fontId="7" fillId="0" borderId="16" xfId="0" applyFont="1" applyBorder="1" applyAlignment="1">
      <alignment vertical="center"/>
    </xf>
    <xf numFmtId="9" fontId="20" fillId="0" borderId="17" xfId="2" applyFont="1" applyBorder="1"/>
    <xf numFmtId="0" fontId="7" fillId="0" borderId="18" xfId="0" applyFont="1" applyBorder="1" applyAlignment="1">
      <alignment vertical="center"/>
    </xf>
    <xf numFmtId="0" fontId="0" fillId="0" borderId="19" xfId="0" applyBorder="1"/>
    <xf numFmtId="169" fontId="17" fillId="0" borderId="20" xfId="0" applyNumberFormat="1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9" fillId="0" borderId="14" xfId="0" applyFont="1" applyFill="1" applyBorder="1" applyAlignment="1">
      <alignment vertical="center"/>
    </xf>
    <xf numFmtId="0" fontId="14" fillId="0" borderId="14" xfId="0" applyFont="1" applyFill="1" applyBorder="1"/>
    <xf numFmtId="0" fontId="14" fillId="0" borderId="15" xfId="0" applyFont="1" applyFill="1" applyBorder="1"/>
    <xf numFmtId="0" fontId="6" fillId="0" borderId="16" xfId="0" applyFont="1" applyBorder="1"/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6" fillId="0" borderId="18" xfId="0" applyFont="1" applyBorder="1"/>
    <xf numFmtId="0" fontId="6" fillId="0" borderId="19" xfId="0" applyFont="1" applyBorder="1"/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9" fillId="0" borderId="13" xfId="0" applyFont="1" applyBorder="1"/>
    <xf numFmtId="0" fontId="9" fillId="0" borderId="14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1" fillId="0" borderId="17" xfId="0" applyFont="1" applyBorder="1" applyAlignment="1">
      <alignment vertical="center"/>
    </xf>
    <xf numFmtId="0" fontId="2" fillId="8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0" fontId="9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8" fillId="0" borderId="12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9" fontId="17" fillId="0" borderId="23" xfId="2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wrapText="1"/>
    </xf>
    <xf numFmtId="173" fontId="18" fillId="0" borderId="29" xfId="0" applyNumberFormat="1" applyFont="1" applyFill="1" applyBorder="1" applyAlignment="1">
      <alignment horizontal="center" vertical="center"/>
    </xf>
    <xf numFmtId="169" fontId="17" fillId="0" borderId="28" xfId="2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 wrapText="1"/>
    </xf>
    <xf numFmtId="43" fontId="16" fillId="0" borderId="22" xfId="1" applyFont="1" applyBorder="1" applyAlignment="1">
      <alignment horizontal="center" vertical="center"/>
    </xf>
    <xf numFmtId="43" fontId="16" fillId="0" borderId="3" xfId="1" applyFont="1" applyBorder="1" applyAlignment="1">
      <alignment horizontal="center" vertical="center"/>
    </xf>
    <xf numFmtId="43" fontId="16" fillId="5" borderId="29" xfId="1" applyFont="1" applyFill="1" applyBorder="1" applyAlignment="1">
      <alignment horizontal="center" vertical="center"/>
    </xf>
    <xf numFmtId="9" fontId="20" fillId="7" borderId="3" xfId="2" applyFont="1" applyFill="1" applyBorder="1" applyAlignment="1">
      <alignment horizontal="center" vertical="center"/>
    </xf>
    <xf numFmtId="9" fontId="20" fillId="7" borderId="6" xfId="2" applyFont="1" applyFill="1" applyBorder="1" applyAlignment="1">
      <alignment horizontal="center" vertical="center"/>
    </xf>
    <xf numFmtId="9" fontId="20" fillId="7" borderId="10" xfId="2" applyFont="1" applyFill="1" applyBorder="1" applyAlignment="1">
      <alignment horizontal="center" vertical="center"/>
    </xf>
    <xf numFmtId="9" fontId="19" fillId="7" borderId="10" xfId="2" applyFont="1" applyFill="1" applyBorder="1" applyAlignment="1">
      <alignment horizontal="center" vertical="center"/>
    </xf>
    <xf numFmtId="9" fontId="19" fillId="7" borderId="3" xfId="2" applyFont="1" applyFill="1" applyBorder="1" applyAlignment="1">
      <alignment horizontal="center" vertical="center"/>
    </xf>
    <xf numFmtId="9" fontId="19" fillId="7" borderId="6" xfId="2" applyFont="1" applyFill="1" applyBorder="1" applyAlignment="1">
      <alignment horizontal="center" vertical="center"/>
    </xf>
    <xf numFmtId="9" fontId="19" fillId="7" borderId="31" xfId="2" applyFont="1" applyFill="1" applyBorder="1" applyAlignment="1">
      <alignment horizontal="center" vertical="center"/>
    </xf>
    <xf numFmtId="9" fontId="19" fillId="7" borderId="32" xfId="2" applyFont="1" applyFill="1" applyBorder="1" applyAlignment="1">
      <alignment horizontal="center" vertical="center"/>
    </xf>
    <xf numFmtId="9" fontId="19" fillId="7" borderId="33" xfId="2" applyFont="1" applyFill="1" applyBorder="1" applyAlignment="1">
      <alignment horizontal="center" vertical="center"/>
    </xf>
    <xf numFmtId="9" fontId="19" fillId="7" borderId="34" xfId="2" applyFont="1" applyFill="1" applyBorder="1" applyAlignment="1">
      <alignment horizontal="center" vertical="center"/>
    </xf>
    <xf numFmtId="9" fontId="19" fillId="7" borderId="35" xfId="2" applyFont="1" applyFill="1" applyBorder="1" applyAlignment="1">
      <alignment horizontal="center" vertical="center"/>
    </xf>
    <xf numFmtId="9" fontId="19" fillId="7" borderId="36" xfId="2" applyFont="1" applyFill="1" applyBorder="1" applyAlignment="1">
      <alignment horizontal="center" vertical="center"/>
    </xf>
    <xf numFmtId="173" fontId="18" fillId="0" borderId="22" xfId="0" applyNumberFormat="1" applyFont="1" applyFill="1" applyBorder="1" applyAlignment="1">
      <alignment horizontal="center" vertical="center"/>
    </xf>
    <xf numFmtId="173" fontId="17" fillId="0" borderId="31" xfId="2" applyNumberFormat="1" applyFont="1" applyFill="1" applyBorder="1" applyAlignment="1">
      <alignment horizontal="center" vertical="center"/>
    </xf>
    <xf numFmtId="173" fontId="17" fillId="0" borderId="37" xfId="2" applyNumberFormat="1" applyFont="1" applyFill="1" applyBorder="1" applyAlignment="1">
      <alignment horizontal="center" vertical="center"/>
    </xf>
    <xf numFmtId="173" fontId="17" fillId="0" borderId="36" xfId="2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Verdana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2" tint="-0.249977111117893"/>
        </top>
        <bottom style="thin">
          <color theme="2" tint="-0.249977111117893"/>
        </bottom>
        <vertical/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2" tint="-0.249977111117893"/>
        </top>
        <bottom style="thin">
          <color theme="2" tint="-0.249977111117893"/>
        </bottom>
        <vertical/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2" tint="-0.249977111117893"/>
        </top>
        <bottom style="thin">
          <color theme="2" tint="-0.249977111117893"/>
        </bottom>
        <vertical/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2" tint="-0.249977111117893"/>
        </top>
        <bottom style="thin">
          <color theme="2" tint="-0.249977111117893"/>
        </bottom>
        <vertical/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B05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/>
      </font>
    </dxf>
    <dxf>
      <font>
        <color theme="7" tint="0.39994506668294322"/>
      </font>
    </dxf>
    <dxf>
      <font>
        <color theme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050" b="1" i="0" u="none" strike="noStrike" baseline="0"/>
              <a:t>PERFORMANCE ATEIER -  DERNIER TRIMESTRE (T2 - 2026) </a:t>
            </a:r>
            <a:endParaRPr lang="fr-FR" sz="1050" b="1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1671286841887089"/>
          <c:y val="3.6354204380272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99575354144488E-2"/>
          <c:y val="8.9430837058551274E-2"/>
          <c:w val="0.91392970581001809"/>
          <c:h val="0.7067206281796119"/>
        </c:manualLayout>
      </c:layout>
      <c:areaChart>
        <c:grouping val="standard"/>
        <c:varyColors val="0"/>
        <c:ser>
          <c:idx val="2"/>
          <c:order val="2"/>
          <c:tx>
            <c:v>PERF AREA</c:v>
          </c:tx>
          <c:spPr>
            <a:gradFill>
              <a:gsLst>
                <a:gs pos="0">
                  <a:schemeClr val="accent2"/>
                </a:gs>
                <a:gs pos="0">
                  <a:schemeClr val="accent6"/>
                </a:gs>
                <a:gs pos="82304">
                  <a:schemeClr val="accent6">
                    <a:lumMod val="20000"/>
                    <a:lumOff val="80000"/>
                  </a:schemeClr>
                </a:gs>
                <a:gs pos="21000">
                  <a:schemeClr val="accent6">
                    <a:lumMod val="60000"/>
                    <a:lumOff val="40000"/>
                  </a:schemeClr>
                </a:gs>
                <a:gs pos="10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val>
            <c:numRef>
              <c:f>data!$B$2:$B$14</c:f>
              <c:numCache>
                <c:formatCode>General</c:formatCode>
                <c:ptCount val="13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71</c:v>
                </c:pt>
                <c:pt idx="4">
                  <c:v>72</c:v>
                </c:pt>
                <c:pt idx="5">
                  <c:v>73</c:v>
                </c:pt>
                <c:pt idx="6">
                  <c:v>64</c:v>
                </c:pt>
                <c:pt idx="7">
                  <c:v>61</c:v>
                </c:pt>
                <c:pt idx="8">
                  <c:v>62</c:v>
                </c:pt>
                <c:pt idx="9">
                  <c:v>56</c:v>
                </c:pt>
                <c:pt idx="10">
                  <c:v>50</c:v>
                </c:pt>
                <c:pt idx="11">
                  <c:v>62</c:v>
                </c:pt>
                <c:pt idx="1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5B4-45F1-8A27-0918C50C5AEE}"/>
            </c:ext>
          </c:extLst>
        </c:ser>
        <c:ser>
          <c:idx val="3"/>
          <c:order val="3"/>
          <c:tx>
            <c:v>OBJECTIF AREA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data!$C$2:$C$14</c:f>
              <c:numCache>
                <c:formatCode>General</c:formatCode>
                <c:ptCount val="13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  <c:pt idx="5">
                  <c:v>61</c:v>
                </c:pt>
                <c:pt idx="6">
                  <c:v>61</c:v>
                </c:pt>
                <c:pt idx="7">
                  <c:v>61</c:v>
                </c:pt>
                <c:pt idx="8">
                  <c:v>61</c:v>
                </c:pt>
                <c:pt idx="9">
                  <c:v>61</c:v>
                </c:pt>
                <c:pt idx="10">
                  <c:v>61</c:v>
                </c:pt>
                <c:pt idx="11">
                  <c:v>61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5B4-45F1-8A27-0918C50C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517663"/>
        <c:axId val="112585007"/>
      </c:areaChart>
      <c:lineChart>
        <c:grouping val="standard"/>
        <c:varyColors val="0"/>
        <c:ser>
          <c:idx val="0"/>
          <c:order val="0"/>
          <c:tx>
            <c:v>PERFORMANCE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data!$A$2:$A$14</c:f>
              <c:strCache>
                <c:ptCount val="13"/>
                <c:pt idx="0">
                  <c:v>S14</c:v>
                </c:pt>
                <c:pt idx="1">
                  <c:v>S15</c:v>
                </c:pt>
                <c:pt idx="2">
                  <c:v>S16</c:v>
                </c:pt>
                <c:pt idx="3">
                  <c:v>S17</c:v>
                </c:pt>
                <c:pt idx="4">
                  <c:v>S18</c:v>
                </c:pt>
                <c:pt idx="5">
                  <c:v>S19</c:v>
                </c:pt>
                <c:pt idx="6">
                  <c:v>S20</c:v>
                </c:pt>
                <c:pt idx="7">
                  <c:v>S21</c:v>
                </c:pt>
                <c:pt idx="8">
                  <c:v>S22</c:v>
                </c:pt>
                <c:pt idx="9">
                  <c:v>S23</c:v>
                </c:pt>
                <c:pt idx="10">
                  <c:v>S24</c:v>
                </c:pt>
                <c:pt idx="11">
                  <c:v>S25</c:v>
                </c:pt>
                <c:pt idx="12">
                  <c:v>S26</c:v>
                </c:pt>
              </c:strCache>
            </c:strRef>
          </c:cat>
          <c:val>
            <c:numRef>
              <c:f>data!$B$2:$B$14</c:f>
              <c:numCache>
                <c:formatCode>General</c:formatCode>
                <c:ptCount val="13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71</c:v>
                </c:pt>
                <c:pt idx="4">
                  <c:v>72</c:v>
                </c:pt>
                <c:pt idx="5">
                  <c:v>73</c:v>
                </c:pt>
                <c:pt idx="6">
                  <c:v>64</c:v>
                </c:pt>
                <c:pt idx="7">
                  <c:v>61</c:v>
                </c:pt>
                <c:pt idx="8">
                  <c:v>62</c:v>
                </c:pt>
                <c:pt idx="9">
                  <c:v>56</c:v>
                </c:pt>
                <c:pt idx="10">
                  <c:v>50</c:v>
                </c:pt>
                <c:pt idx="11">
                  <c:v>62</c:v>
                </c:pt>
                <c:pt idx="12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B4-45F1-8A27-0918C50C5AEE}"/>
            </c:ext>
          </c:extLst>
        </c:ser>
        <c:ser>
          <c:idx val="1"/>
          <c:order val="1"/>
          <c:tx>
            <c:v>OBJECTIF</c:v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data!$A$2:$A$14</c:f>
              <c:strCache>
                <c:ptCount val="13"/>
                <c:pt idx="0">
                  <c:v>S14</c:v>
                </c:pt>
                <c:pt idx="1">
                  <c:v>S15</c:v>
                </c:pt>
                <c:pt idx="2">
                  <c:v>S16</c:v>
                </c:pt>
                <c:pt idx="3">
                  <c:v>S17</c:v>
                </c:pt>
                <c:pt idx="4">
                  <c:v>S18</c:v>
                </c:pt>
                <c:pt idx="5">
                  <c:v>S19</c:v>
                </c:pt>
                <c:pt idx="6">
                  <c:v>S20</c:v>
                </c:pt>
                <c:pt idx="7">
                  <c:v>S21</c:v>
                </c:pt>
                <c:pt idx="8">
                  <c:v>S22</c:v>
                </c:pt>
                <c:pt idx="9">
                  <c:v>S23</c:v>
                </c:pt>
                <c:pt idx="10">
                  <c:v>S24</c:v>
                </c:pt>
                <c:pt idx="11">
                  <c:v>S25</c:v>
                </c:pt>
                <c:pt idx="12">
                  <c:v>S26</c:v>
                </c:pt>
              </c:strCache>
            </c:strRef>
          </c:cat>
          <c:val>
            <c:numRef>
              <c:f>data!$C$2:$C$14</c:f>
              <c:numCache>
                <c:formatCode>General</c:formatCode>
                <c:ptCount val="13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  <c:pt idx="5">
                  <c:v>61</c:v>
                </c:pt>
                <c:pt idx="6">
                  <c:v>61</c:v>
                </c:pt>
                <c:pt idx="7">
                  <c:v>61</c:v>
                </c:pt>
                <c:pt idx="8">
                  <c:v>61</c:v>
                </c:pt>
                <c:pt idx="9">
                  <c:v>61</c:v>
                </c:pt>
                <c:pt idx="10">
                  <c:v>61</c:v>
                </c:pt>
                <c:pt idx="11">
                  <c:v>61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5B4-45F1-8A27-0918C50C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517663"/>
        <c:axId val="112585007"/>
      </c:lineChart>
      <c:catAx>
        <c:axId val="20855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585007"/>
        <c:crosses val="autoZero"/>
        <c:auto val="1"/>
        <c:lblAlgn val="ctr"/>
        <c:lblOffset val="100"/>
        <c:noMultiLvlLbl val="0"/>
      </c:catAx>
      <c:valAx>
        <c:axId val="112585007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551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41453727266173879"/>
          <c:y val="0.47710267682402407"/>
          <c:w val="0.23379661300783461"/>
          <c:h val="0.212571340153422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accent1">
                    <a:lumMod val="50000"/>
                  </a:schemeClr>
                </a:solidFill>
              </a:rPr>
              <a:t>PARETO</a:t>
            </a:r>
            <a:r>
              <a:rPr lang="en-US" sz="1050" b="1" baseline="0">
                <a:solidFill>
                  <a:schemeClr val="accent1">
                    <a:lumMod val="50000"/>
                  </a:schemeClr>
                </a:solidFill>
              </a:rPr>
              <a:t> DES CAUSES DE</a:t>
            </a:r>
            <a:r>
              <a:rPr lang="en-US" sz="1050" b="1">
                <a:solidFill>
                  <a:schemeClr val="accent1">
                    <a:lumMod val="50000"/>
                  </a:schemeClr>
                </a:solidFill>
              </a:rPr>
              <a:t> L'ECART ATELIER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6458327896336212E-2"/>
          <c:y val="6.9434376569335834E-2"/>
          <c:w val="0.87078798007814662"/>
          <c:h val="0.7665373895827835"/>
        </c:manualLayout>
      </c:layout>
      <c:barChart>
        <c:barDir val="col"/>
        <c:grouping val="clustered"/>
        <c:varyColors val="0"/>
        <c:ser>
          <c:idx val="0"/>
          <c:order val="0"/>
          <c:tx>
            <c:v>ECART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249-4D15-8763-764BC51147C9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249-4D15-8763-764BC51147C9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249-4D15-8763-764BC51147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params!$A$2:$A$7</c:f>
              <c:strCache>
                <c:ptCount val="6"/>
                <c:pt idx="0">
                  <c:v>C 2</c:v>
                </c:pt>
                <c:pt idx="1">
                  <c:v>XY</c:v>
                </c:pt>
                <c:pt idx="2">
                  <c:v>C 1</c:v>
                </c:pt>
                <c:pt idx="3">
                  <c:v>Z</c:v>
                </c:pt>
                <c:pt idx="4">
                  <c:v>E</c:v>
                </c:pt>
                <c:pt idx="5">
                  <c:v>M</c:v>
                </c:pt>
              </c:strCache>
            </c:strRef>
          </c:cat>
          <c:val>
            <c:numRef>
              <c:f>params!$B$2:$B$7</c:f>
              <c:numCache>
                <c:formatCode>0%</c:formatCode>
                <c:ptCount val="6"/>
                <c:pt idx="0">
                  <c:v>0.52805280528052789</c:v>
                </c:pt>
                <c:pt idx="1">
                  <c:v>0.14851485148514848</c:v>
                </c:pt>
                <c:pt idx="2">
                  <c:v>0.14521452145214522</c:v>
                </c:pt>
                <c:pt idx="3">
                  <c:v>0.11551155115511551</c:v>
                </c:pt>
                <c:pt idx="4">
                  <c:v>4.9504950495049535E-2</c:v>
                </c:pt>
                <c:pt idx="5">
                  <c:v>1.3201320132013283E-2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9-4D15-8763-764BC51147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7861471"/>
        <c:axId val="652325215"/>
      </c:barChart>
      <c:lineChart>
        <c:grouping val="standard"/>
        <c:varyColors val="0"/>
        <c:ser>
          <c:idx val="1"/>
          <c:order val="1"/>
          <c:tx>
            <c:v>CUMUL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1.1286886909121959E-1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49-4D15-8763-764BC5114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params!$A$2:$A$7</c:f>
              <c:strCache>
                <c:ptCount val="6"/>
                <c:pt idx="0">
                  <c:v>C 2</c:v>
                </c:pt>
                <c:pt idx="1">
                  <c:v>XY</c:v>
                </c:pt>
                <c:pt idx="2">
                  <c:v>C 1</c:v>
                </c:pt>
                <c:pt idx="3">
                  <c:v>Z</c:v>
                </c:pt>
                <c:pt idx="4">
                  <c:v>E</c:v>
                </c:pt>
                <c:pt idx="5">
                  <c:v>M</c:v>
                </c:pt>
              </c:strCache>
            </c:strRef>
          </c:cat>
          <c:val>
            <c:numRef>
              <c:f>params!$C$2:$C$7</c:f>
              <c:numCache>
                <c:formatCode>0%</c:formatCode>
                <c:ptCount val="6"/>
                <c:pt idx="0">
                  <c:v>0.528052805280528</c:v>
                </c:pt>
                <c:pt idx="1">
                  <c:v>0.67656765676567643</c:v>
                </c:pt>
                <c:pt idx="2">
                  <c:v>0.82178217821782162</c:v>
                </c:pt>
                <c:pt idx="3">
                  <c:v>0.93729372937293709</c:v>
                </c:pt>
                <c:pt idx="4">
                  <c:v>0.98679867986798664</c:v>
                </c:pt>
                <c:pt idx="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49-4D15-8763-764BC51147C9}"/>
            </c:ext>
          </c:extLst>
        </c:ser>
        <c:ser>
          <c:idx val="2"/>
          <c:order val="2"/>
          <c:tx>
            <c:v>PARETO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params!$A$2:$A$7</c:f>
              <c:strCache>
                <c:ptCount val="6"/>
                <c:pt idx="0">
                  <c:v>C 2</c:v>
                </c:pt>
                <c:pt idx="1">
                  <c:v>XY</c:v>
                </c:pt>
                <c:pt idx="2">
                  <c:v>C 1</c:v>
                </c:pt>
                <c:pt idx="3">
                  <c:v>Z</c:v>
                </c:pt>
                <c:pt idx="4">
                  <c:v>E</c:v>
                </c:pt>
                <c:pt idx="5">
                  <c:v>M</c:v>
                </c:pt>
              </c:strCache>
            </c:strRef>
          </c:cat>
          <c:val>
            <c:numRef>
              <c:f>params!$D$2:$D$7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49-4D15-8763-764BC5114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861471"/>
        <c:axId val="652325215"/>
      </c:lineChart>
      <c:catAx>
        <c:axId val="2087861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2325215"/>
        <c:crosses val="autoZero"/>
        <c:auto val="1"/>
        <c:lblAlgn val="ctr"/>
        <c:lblOffset val="100"/>
        <c:noMultiLvlLbl val="0"/>
      </c:catAx>
      <c:valAx>
        <c:axId val="652325215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208786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09860294401654"/>
          <c:y val="0.39816284013179359"/>
          <c:w val="0.20544306915964727"/>
          <c:h val="0.28725011719563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.xml"/><Relationship Id="rId1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6.svg"/><Relationship Id="rId2" Type="http://schemas.openxmlformats.org/officeDocument/2006/relationships/image" Target="../media/image2.sv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sv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662939</xdr:colOff>
      <xdr:row>0</xdr:row>
      <xdr:rowOff>0</xdr:rowOff>
    </xdr:from>
    <xdr:to>
      <xdr:col>3</xdr:col>
      <xdr:colOff>531945</xdr:colOff>
      <xdr:row>2</xdr:row>
      <xdr:rowOff>261256</xdr:rowOff>
    </xdr:to>
    <xdr:pic>
      <xdr:nvPicPr>
        <xdr:cNvPr id="3" name="Graphique 2" descr="Usine">
          <a:extLst>
            <a:ext uri="{FF2B5EF4-FFF2-40B4-BE49-F238E27FC236}">
              <a16:creationId xmlns:a16="http://schemas.microsoft.com/office/drawing/2014/main" id="{2B08109F-0633-4BC7-8A6C-85616ADEE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0653" y="0"/>
          <a:ext cx="881378" cy="881742"/>
        </a:xfrm>
        <a:prstGeom prst="rect">
          <a:avLst/>
        </a:prstGeom>
      </xdr:spPr>
    </xdr:pic>
    <xdr:clientData/>
  </xdr:twoCellAnchor>
  <xdr:twoCellAnchor>
    <xdr:from>
      <xdr:col>13</xdr:col>
      <xdr:colOff>1121227</xdr:colOff>
      <xdr:row>1</xdr:row>
      <xdr:rowOff>76201</xdr:rowOff>
    </xdr:from>
    <xdr:to>
      <xdr:col>13</xdr:col>
      <xdr:colOff>1121227</xdr:colOff>
      <xdr:row>1</xdr:row>
      <xdr:rowOff>832201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7FA75F0D-3BA2-4146-B935-C8A1149A1A72}"/>
            </a:ext>
          </a:extLst>
        </xdr:cNvPr>
        <xdr:cNvCxnSpPr/>
      </xdr:nvCxnSpPr>
      <xdr:spPr>
        <a:xfrm>
          <a:off x="10047513" y="261258"/>
          <a:ext cx="0" cy="756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1088572</xdr:colOff>
      <xdr:row>1</xdr:row>
      <xdr:rowOff>76202</xdr:rowOff>
    </xdr:from>
    <xdr:to>
      <xdr:col>15</xdr:col>
      <xdr:colOff>1088572</xdr:colOff>
      <xdr:row>1</xdr:row>
      <xdr:rowOff>832202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3FAFA69A-4E71-494B-B0E3-270514732AC2}"/>
            </a:ext>
          </a:extLst>
        </xdr:cNvPr>
        <xdr:cNvCxnSpPr/>
      </xdr:nvCxnSpPr>
      <xdr:spPr>
        <a:xfrm>
          <a:off x="11375572" y="261259"/>
          <a:ext cx="0" cy="756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43544</xdr:colOff>
      <xdr:row>13</xdr:row>
      <xdr:rowOff>463733</xdr:rowOff>
    </xdr:from>
    <xdr:to>
      <xdr:col>4</xdr:col>
      <xdr:colOff>947315</xdr:colOff>
      <xdr:row>13</xdr:row>
      <xdr:rowOff>463733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B3ADC09B-8034-4CD3-8928-2FE9F60A698F}"/>
            </a:ext>
          </a:extLst>
        </xdr:cNvPr>
        <xdr:cNvCxnSpPr/>
      </xdr:nvCxnSpPr>
      <xdr:spPr>
        <a:xfrm flipV="1">
          <a:off x="43544" y="5209904"/>
          <a:ext cx="3102685" cy="0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21772</xdr:colOff>
      <xdr:row>15</xdr:row>
      <xdr:rowOff>43542</xdr:rowOff>
    </xdr:from>
    <xdr:to>
      <xdr:col>4</xdr:col>
      <xdr:colOff>990857</xdr:colOff>
      <xdr:row>15</xdr:row>
      <xdr:rowOff>43542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1EB31F31-4233-488E-8A12-CB48C1462E87}"/>
            </a:ext>
          </a:extLst>
        </xdr:cNvPr>
        <xdr:cNvCxnSpPr/>
      </xdr:nvCxnSpPr>
      <xdr:spPr>
        <a:xfrm flipV="1">
          <a:off x="87086" y="7195456"/>
          <a:ext cx="3168000" cy="0"/>
        </a:xfrm>
        <a:prstGeom prst="line">
          <a:avLst/>
        </a:prstGeom>
        <a:ln w="9525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21772</xdr:colOff>
      <xdr:row>16</xdr:row>
      <xdr:rowOff>43543</xdr:rowOff>
    </xdr:from>
    <xdr:to>
      <xdr:col>4</xdr:col>
      <xdr:colOff>990857</xdr:colOff>
      <xdr:row>16</xdr:row>
      <xdr:rowOff>43543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2274824C-4F47-440E-8ED4-DF64F8064CD0}"/>
            </a:ext>
          </a:extLst>
        </xdr:cNvPr>
        <xdr:cNvCxnSpPr/>
      </xdr:nvCxnSpPr>
      <xdr:spPr>
        <a:xfrm flipV="1">
          <a:off x="87086" y="7641772"/>
          <a:ext cx="3168000" cy="0"/>
        </a:xfrm>
        <a:prstGeom prst="line">
          <a:avLst/>
        </a:prstGeom>
        <a:ln w="9525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21772</xdr:colOff>
      <xdr:row>17</xdr:row>
      <xdr:rowOff>43544</xdr:rowOff>
    </xdr:from>
    <xdr:to>
      <xdr:col>4</xdr:col>
      <xdr:colOff>990857</xdr:colOff>
      <xdr:row>17</xdr:row>
      <xdr:rowOff>43544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CA59DFC1-BC04-4E97-877A-679B6821EE94}"/>
            </a:ext>
          </a:extLst>
        </xdr:cNvPr>
        <xdr:cNvCxnSpPr/>
      </xdr:nvCxnSpPr>
      <xdr:spPr>
        <a:xfrm flipV="1">
          <a:off x="87086" y="6150430"/>
          <a:ext cx="3233314" cy="0"/>
        </a:xfrm>
        <a:prstGeom prst="line">
          <a:avLst/>
        </a:prstGeom>
        <a:ln w="9525"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19374</xdr:colOff>
      <xdr:row>14</xdr:row>
      <xdr:rowOff>110144</xdr:rowOff>
    </xdr:from>
    <xdr:to>
      <xdr:col>2</xdr:col>
      <xdr:colOff>83402</xdr:colOff>
      <xdr:row>14</xdr:row>
      <xdr:rowOff>326572</xdr:rowOff>
    </xdr:to>
    <xdr:pic>
      <xdr:nvPicPr>
        <xdr:cNvPr id="15" name="Graphique 14" descr="Mille">
          <a:extLst>
            <a:ext uri="{FF2B5EF4-FFF2-40B4-BE49-F238E27FC236}">
              <a16:creationId xmlns:a16="http://schemas.microsoft.com/office/drawing/2014/main" id="{75418205-1710-46C3-BD37-BB856AD85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4688" y="6815744"/>
          <a:ext cx="216428" cy="216428"/>
        </a:xfrm>
        <a:prstGeom prst="rect">
          <a:avLst/>
        </a:prstGeom>
      </xdr:spPr>
    </xdr:pic>
    <xdr:clientData/>
  </xdr:twoCellAnchor>
  <xdr:twoCellAnchor editAs="oneCell">
    <xdr:from>
      <xdr:col>1</xdr:col>
      <xdr:colOff>32074</xdr:colOff>
      <xdr:row>16</xdr:row>
      <xdr:rowOff>136775</xdr:rowOff>
    </xdr:from>
    <xdr:to>
      <xdr:col>2</xdr:col>
      <xdr:colOff>67129</xdr:colOff>
      <xdr:row>16</xdr:row>
      <xdr:rowOff>324230</xdr:rowOff>
    </xdr:to>
    <xdr:pic>
      <xdr:nvPicPr>
        <xdr:cNvPr id="17" name="Graphique 16" descr="Graphique à barres avec tendance à la hausse">
          <a:extLst>
            <a:ext uri="{FF2B5EF4-FFF2-40B4-BE49-F238E27FC236}">
              <a16:creationId xmlns:a16="http://schemas.microsoft.com/office/drawing/2014/main" id="{60A47882-52CF-4C4E-80A8-F1C161F8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5574" y="6220075"/>
          <a:ext cx="187455" cy="187455"/>
        </a:xfrm>
        <a:prstGeom prst="rect">
          <a:avLst/>
        </a:prstGeom>
      </xdr:spPr>
    </xdr:pic>
    <xdr:clientData/>
  </xdr:twoCellAnchor>
  <xdr:twoCellAnchor editAs="oneCell">
    <xdr:from>
      <xdr:col>1</xdr:col>
      <xdr:colOff>6674</xdr:colOff>
      <xdr:row>15</xdr:row>
      <xdr:rowOff>136185</xdr:rowOff>
    </xdr:from>
    <xdr:to>
      <xdr:col>2</xdr:col>
      <xdr:colOff>86389</xdr:colOff>
      <xdr:row>15</xdr:row>
      <xdr:rowOff>368300</xdr:rowOff>
    </xdr:to>
    <xdr:pic>
      <xdr:nvPicPr>
        <xdr:cNvPr id="19" name="Graphique 18" descr="Tendance à la hausse">
          <a:extLst>
            <a:ext uri="{FF2B5EF4-FFF2-40B4-BE49-F238E27FC236}">
              <a16:creationId xmlns:a16="http://schemas.microsoft.com/office/drawing/2014/main" id="{B6159F0B-7512-4A04-8035-0E55AE884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0174" y="5813085"/>
          <a:ext cx="232115" cy="232115"/>
        </a:xfrm>
        <a:prstGeom prst="rect">
          <a:avLst/>
        </a:prstGeom>
      </xdr:spPr>
    </xdr:pic>
    <xdr:clientData/>
  </xdr:twoCellAnchor>
  <xdr:twoCellAnchor editAs="oneCell">
    <xdr:from>
      <xdr:col>1</xdr:col>
      <xdr:colOff>19374</xdr:colOff>
      <xdr:row>17</xdr:row>
      <xdr:rowOff>57004</xdr:rowOff>
    </xdr:from>
    <xdr:to>
      <xdr:col>2</xdr:col>
      <xdr:colOff>97972</xdr:colOff>
      <xdr:row>17</xdr:row>
      <xdr:rowOff>288002</xdr:rowOff>
    </xdr:to>
    <xdr:pic>
      <xdr:nvPicPr>
        <xdr:cNvPr id="23" name="Graphique 22" descr="Statistiques">
          <a:extLst>
            <a:ext uri="{FF2B5EF4-FFF2-40B4-BE49-F238E27FC236}">
              <a16:creationId xmlns:a16="http://schemas.microsoft.com/office/drawing/2014/main" id="{2192234A-2B15-4105-9AC7-BC00E6D5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4688" y="7241575"/>
          <a:ext cx="230998" cy="230998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272143</xdr:colOff>
      <xdr:row>25</xdr:row>
      <xdr:rowOff>10885</xdr:rowOff>
    </xdr:from>
    <xdr:to>
      <xdr:col>6</xdr:col>
      <xdr:colOff>446314</xdr:colOff>
      <xdr:row>25</xdr:row>
      <xdr:rowOff>185056</xdr:rowOff>
    </xdr:to>
    <xdr:pic>
      <xdr:nvPicPr>
        <xdr:cNvPr id="27" name="Graphique 26" descr="Ampoule et engrenage">
          <a:extLst>
            <a:ext uri="{FF2B5EF4-FFF2-40B4-BE49-F238E27FC236}">
              <a16:creationId xmlns:a16="http://schemas.microsoft.com/office/drawing/2014/main" id="{635215C9-F92C-45D0-89C7-49A96B1D2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668486" y="9002485"/>
          <a:ext cx="174171" cy="174171"/>
        </a:xfrm>
        <a:prstGeom prst="rect">
          <a:avLst/>
        </a:prstGeom>
      </xdr:spPr>
    </xdr:pic>
    <xdr:clientData/>
  </xdr:twoCellAnchor>
  <xdr:twoCellAnchor>
    <xdr:from>
      <xdr:col>6</xdr:col>
      <xdr:colOff>124097</xdr:colOff>
      <xdr:row>13</xdr:row>
      <xdr:rowOff>28304</xdr:rowOff>
    </xdr:from>
    <xdr:to>
      <xdr:col>11</xdr:col>
      <xdr:colOff>1082040</xdr:colOff>
      <xdr:row>17</xdr:row>
      <xdr:rowOff>304800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E40F03DD-86EA-48C8-8D7B-8A96E620E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</xdr:col>
      <xdr:colOff>32656</xdr:colOff>
      <xdr:row>20</xdr:row>
      <xdr:rowOff>272145</xdr:rowOff>
    </xdr:from>
    <xdr:to>
      <xdr:col>2</xdr:col>
      <xdr:colOff>936168</xdr:colOff>
      <xdr:row>22</xdr:row>
      <xdr:rowOff>370114</xdr:rowOff>
    </xdr:to>
    <xdr:pic>
      <xdr:nvPicPr>
        <xdr:cNvPr id="30" name="Graphique 29" descr="Conversation (droite à gauche)">
          <a:extLst>
            <a:ext uri="{FF2B5EF4-FFF2-40B4-BE49-F238E27FC236}">
              <a16:creationId xmlns:a16="http://schemas.microsoft.com/office/drawing/2014/main" id="{0D1CD389-0942-449D-AE81-AEB825BE6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50370" y="7826831"/>
          <a:ext cx="903512" cy="903512"/>
        </a:xfrm>
        <a:prstGeom prst="rect">
          <a:avLst/>
        </a:prstGeom>
      </xdr:spPr>
    </xdr:pic>
    <xdr:clientData/>
  </xdr:twoCellAnchor>
  <xdr:twoCellAnchor editAs="oneCell">
    <xdr:from>
      <xdr:col>8</xdr:col>
      <xdr:colOff>43544</xdr:colOff>
      <xdr:row>20</xdr:row>
      <xdr:rowOff>228601</xdr:rowOff>
    </xdr:from>
    <xdr:to>
      <xdr:col>9</xdr:col>
      <xdr:colOff>819695</xdr:colOff>
      <xdr:row>22</xdr:row>
      <xdr:rowOff>250372</xdr:rowOff>
    </xdr:to>
    <xdr:pic>
      <xdr:nvPicPr>
        <xdr:cNvPr id="32" name="Graphique 31" descr="Liste de vérification">
          <a:extLst>
            <a:ext uri="{FF2B5EF4-FFF2-40B4-BE49-F238E27FC236}">
              <a16:creationId xmlns:a16="http://schemas.microsoft.com/office/drawing/2014/main" id="{7B3D628C-37C1-424F-BF48-E2B4872B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5791201" y="7783287"/>
          <a:ext cx="827314" cy="827314"/>
        </a:xfrm>
        <a:prstGeom prst="rect">
          <a:avLst/>
        </a:prstGeom>
      </xdr:spPr>
    </xdr:pic>
    <xdr:clientData/>
  </xdr:twoCellAnchor>
  <xdr:twoCellAnchor>
    <xdr:from>
      <xdr:col>13</xdr:col>
      <xdr:colOff>10887</xdr:colOff>
      <xdr:row>13</xdr:row>
      <xdr:rowOff>65314</xdr:rowOff>
    </xdr:from>
    <xdr:to>
      <xdr:col>16</xdr:col>
      <xdr:colOff>1458685</xdr:colOff>
      <xdr:row>17</xdr:row>
      <xdr:rowOff>348342</xdr:rowOff>
    </xdr:to>
    <xdr:graphicFrame macro="">
      <xdr:nvGraphicFramePr>
        <xdr:cNvPr id="40" name="Graphique 39">
          <a:extLst>
            <a:ext uri="{FF2B5EF4-FFF2-40B4-BE49-F238E27FC236}">
              <a16:creationId xmlns:a16="http://schemas.microsoft.com/office/drawing/2014/main" id="{EFE976A8-3938-433D-9B88-6C932CD2F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26D8F-A0E8-4EBB-803B-276AA18EB775}" name="Tableau4" displayName="Tableau4" ref="D6:L12" headerRowCount="0" totalsRowShown="0" headerRowDxfId="38" dataDxfId="37" tableBorderDxfId="9" dataCellStyle="Pourcentage">
  <tableColumns count="9">
    <tableColumn id="1" xr3:uid="{A091019D-E46B-48C1-8F4A-B6E4A0EA518C}" name="Colonne1" headerRowDxfId="40" dataDxfId="8" dataCellStyle="Pourcentage"/>
    <tableColumn id="2" xr3:uid="{8605A9AD-2DEA-478C-BD97-1A5E81E6AAC1}" name="Colonne2" headerRowDxfId="41" dataDxfId="5" dataCellStyle="Pourcentage"/>
    <tableColumn id="3" xr3:uid="{A8CE9D91-D9F8-427D-9815-91785FFCCDD9}" name="Colonne3" headerRowDxfId="42" dataDxfId="7" dataCellStyle="Pourcentage"/>
    <tableColumn id="4" xr3:uid="{33B9DF34-5815-46DC-A724-67783764CE6F}" name="Colonne4" headerRowDxfId="43" dataDxfId="4" dataCellStyle="Pourcentage"/>
    <tableColumn id="5" xr3:uid="{E3050FD5-0357-482A-889C-AFEDAA5B64D2}" name="Colonne5" headerRowDxfId="44" dataDxfId="3" dataCellStyle="Pourcentage"/>
    <tableColumn id="6" xr3:uid="{B7482543-AFA8-4F34-9077-0F5D1446B352}" name="Colonne6" headerRowDxfId="45" dataDxfId="6" dataCellStyle="Pourcentage"/>
    <tableColumn id="7" xr3:uid="{8A1ED2BC-7ED0-4F2D-A9AC-FBDD6C01C7DB}" name="Colonne7" headerRowDxfId="46" dataDxfId="2" dataCellStyle="Pourcentage"/>
    <tableColumn id="8" xr3:uid="{91D4EE9E-33A6-4C56-AF93-6CCC3D5C0E5E}" name="Colonne8" headerRowDxfId="47" dataDxfId="1" dataCellStyle="Pourcentage"/>
    <tableColumn id="9" xr3:uid="{5FCADA70-E1B4-4AEB-A7C6-6135E1613740}" name="Colonne9" headerRowDxfId="48" dataDxfId="0" dataCellStyle="Pourcentage">
      <calculatedColumnFormula>AVERAGE(D6:K6)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CD87B8-5D2A-4D89-AFC3-5AC20AD5C7DE}" name="Tableau8" displayName="Tableau8" ref="A1:C7" totalsRowShown="0">
  <autoFilter ref="A1:C7" xr:uid="{F5E02C16-3B42-4966-937D-64DD38CD6580}"/>
  <sortState ref="A2:C7">
    <sortCondition descending="1" ref="B1:B7"/>
  </sortState>
  <tableColumns count="3">
    <tableColumn id="1" xr3:uid="{BCA3F25A-FD8F-45F6-8774-FEAAA24252F9}" name="MACHINES">
      <calculatedColumnFormula>dashboard!C6</calculatedColumnFormula>
    </tableColumn>
    <tableColumn id="2" xr3:uid="{21EE96AB-CE2E-41BA-A261-7C7653B79B55}" name="CONTRIBUTIONS" dataCellStyle="Pourcentage">
      <calculatedColumnFormula>IF(SUMPRODUCT(ABS(dashboard!$N$6:$N$11))=0,0,ABS(dashboard!N6)/SUMPRODUCT(ABS(dashboard!$N$6:$N$11)))</calculatedColumnFormula>
    </tableColumn>
    <tableColumn id="3" xr3:uid="{F2D567BE-E3C7-49EF-9641-1DE54ADBD989}" name="CUMUL" dataDxfId="39">
      <calculatedColumnFormula>SUM($B$2:B2)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AD7D71-C0A0-48DD-9F64-941345B52E03}" name="Tableau9" displayName="Tableau9" ref="D1:D8" totalsRowShown="0">
  <autoFilter ref="D1:D8" xr:uid="{6B06920C-C800-433B-8B99-374CE738E515}"/>
  <tableColumns count="1">
    <tableColumn id="1" xr3:uid="{727F1A97-1F4E-47C3-9A67-CD3CB804019F}" name="PAR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showGridLines="0" tabSelected="1" topLeftCell="A3" zoomScale="60" zoomScaleNormal="60" workbookViewId="0">
      <selection activeCell="U20" sqref="U20"/>
    </sheetView>
  </sheetViews>
  <sheetFormatPr baseColWidth="10" defaultColWidth="8.88671875" defaultRowHeight="14.4" x14ac:dyDescent="0.3"/>
  <cols>
    <col min="1" max="1" width="0.88671875" customWidth="1"/>
    <col min="2" max="2" width="2.21875" style="5" customWidth="1"/>
    <col min="3" max="3" width="14.77734375" style="5" customWidth="1"/>
    <col min="4" max="4" width="14.109375" style="5" customWidth="1"/>
    <col min="5" max="5" width="15.44140625" style="5" customWidth="1"/>
    <col min="6" max="6" width="0.44140625" style="5" customWidth="1"/>
    <col min="7" max="8" width="16" style="5" customWidth="1"/>
    <col min="9" max="9" width="0.5546875" style="5" customWidth="1"/>
    <col min="10" max="10" width="12.33203125" style="5" bestFit="1" customWidth="1"/>
    <col min="11" max="12" width="16" style="5" customWidth="1"/>
    <col min="13" max="13" width="0.44140625" customWidth="1"/>
    <col min="14" max="14" width="19.33203125" customWidth="1"/>
    <col min="15" max="15" width="0.44140625" customWidth="1"/>
    <col min="16" max="16" width="19.21875" customWidth="1"/>
    <col min="17" max="17" width="27.6640625" customWidth="1"/>
    <col min="19" max="19" width="6.6640625" customWidth="1"/>
    <col min="20" max="22" width="14" customWidth="1"/>
  </cols>
  <sheetData>
    <row r="1" spans="1:20" ht="8.4" customHeight="1" x14ac:dyDescent="0.3"/>
    <row r="2" spans="1:20" s="9" customFormat="1" ht="40.200000000000003" customHeight="1" x14ac:dyDescent="0.3">
      <c r="B2" s="10" t="s">
        <v>13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/>
      <c r="O2" s="12"/>
      <c r="P2" s="12" t="s">
        <v>50</v>
      </c>
      <c r="Q2" s="13" t="s">
        <v>48</v>
      </c>
    </row>
    <row r="3" spans="1:20" s="9" customFormat="1" ht="32.4" customHeight="1" x14ac:dyDescent="0.3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/>
      <c r="O3" s="12"/>
      <c r="P3" s="12" t="s">
        <v>47</v>
      </c>
      <c r="Q3" s="13" t="s">
        <v>49</v>
      </c>
    </row>
    <row r="4" spans="1:20" ht="40.200000000000003" customHeight="1" x14ac:dyDescent="0.3">
      <c r="B4" s="30"/>
      <c r="C4" s="41" t="s">
        <v>9</v>
      </c>
      <c r="D4" s="36" t="s">
        <v>14</v>
      </c>
      <c r="E4" s="37" t="s">
        <v>8</v>
      </c>
      <c r="F4" s="37"/>
      <c r="G4" s="38" t="s">
        <v>7</v>
      </c>
      <c r="H4" s="38" t="s">
        <v>6</v>
      </c>
      <c r="I4" s="39"/>
      <c r="J4" s="39" t="s">
        <v>5</v>
      </c>
      <c r="K4" s="38" t="s">
        <v>10</v>
      </c>
      <c r="L4" s="40" t="s">
        <v>15</v>
      </c>
      <c r="M4" s="17"/>
      <c r="N4" s="18" t="s">
        <v>31</v>
      </c>
      <c r="O4" s="31"/>
      <c r="P4" s="18" t="s">
        <v>16</v>
      </c>
      <c r="Q4" s="24" t="s">
        <v>12</v>
      </c>
    </row>
    <row r="5" spans="1:20" ht="19.8" customHeight="1" x14ac:dyDescent="0.3">
      <c r="B5" s="32" t="s">
        <v>17</v>
      </c>
      <c r="C5" s="92"/>
      <c r="D5" s="14"/>
      <c r="E5" s="14"/>
      <c r="F5" s="14"/>
      <c r="G5" s="14"/>
      <c r="H5" s="14"/>
      <c r="I5" s="14"/>
      <c r="J5" s="14"/>
      <c r="K5" s="14"/>
      <c r="L5" s="2"/>
      <c r="M5" s="22"/>
      <c r="N5" s="22"/>
      <c r="O5" s="22"/>
      <c r="P5" s="22"/>
      <c r="Q5" s="43"/>
    </row>
    <row r="6" spans="1:20" ht="31.8" customHeight="1" x14ac:dyDescent="0.3">
      <c r="B6" s="93"/>
      <c r="C6" s="94" t="s">
        <v>62</v>
      </c>
      <c r="D6" s="109">
        <v>0.65</v>
      </c>
      <c r="E6" s="113">
        <v>0.67</v>
      </c>
      <c r="F6" s="110"/>
      <c r="G6" s="116">
        <v>0.55000000000000004</v>
      </c>
      <c r="H6" s="113">
        <v>0.61</v>
      </c>
      <c r="I6" s="110"/>
      <c r="J6" s="116">
        <v>0.74</v>
      </c>
      <c r="K6" s="113">
        <v>0.64</v>
      </c>
      <c r="L6" s="113">
        <f>AVERAGE(D6:K6)</f>
        <v>0.64333333333333331</v>
      </c>
      <c r="M6" s="104"/>
      <c r="N6" s="120">
        <f>(L6-D6)*100</f>
        <v>-0.66666666666667096</v>
      </c>
      <c r="O6" s="119"/>
      <c r="P6" s="95">
        <v>1.5</v>
      </c>
      <c r="Q6" s="96" t="str">
        <f>IF(N6&gt;=0,"CONFORME",IF(N6&gt;=-3,"SOUS CONTRÔLE","ACTION IMMÉDIATE"))</f>
        <v>SOUS CONTRÔLE</v>
      </c>
    </row>
    <row r="7" spans="1:20" ht="31.8" customHeight="1" x14ac:dyDescent="0.3">
      <c r="B7" s="97"/>
      <c r="C7" s="11" t="s">
        <v>63</v>
      </c>
      <c r="D7" s="107">
        <v>0.67</v>
      </c>
      <c r="E7" s="114">
        <v>0.46</v>
      </c>
      <c r="F7" s="111"/>
      <c r="G7" s="117">
        <v>0.66</v>
      </c>
      <c r="H7" s="114">
        <v>0.68</v>
      </c>
      <c r="I7" s="111"/>
      <c r="J7" s="117">
        <v>0.71</v>
      </c>
      <c r="K7" s="114">
        <v>0.69</v>
      </c>
      <c r="L7" s="114">
        <f t="shared" ref="L7:L12" si="0">AVERAGE(D7:K7)</f>
        <v>0.64500000000000002</v>
      </c>
      <c r="M7" s="105"/>
      <c r="N7" s="121">
        <f t="shared" ref="N7:N11" si="1">(L7-D7)*100</f>
        <v>-2.5000000000000022</v>
      </c>
      <c r="O7" s="45"/>
      <c r="P7" s="50">
        <v>0.8</v>
      </c>
      <c r="Q7" s="98" t="str">
        <f t="shared" ref="Q7:Q12" si="2">IF(N7&gt;=0,"CONFORME",IF(N7&gt;=-3,"SOUS CONTRÔLE","ACTION IMMÉDIATE"))</f>
        <v>SOUS CONTRÔLE</v>
      </c>
    </row>
    <row r="8" spans="1:20" ht="31.8" customHeight="1" x14ac:dyDescent="0.3">
      <c r="B8" s="97"/>
      <c r="C8" s="11" t="s">
        <v>2</v>
      </c>
      <c r="D8" s="107">
        <v>0.55000000000000004</v>
      </c>
      <c r="E8" s="114">
        <v>0.41</v>
      </c>
      <c r="F8" s="111"/>
      <c r="G8" s="117">
        <v>0.31</v>
      </c>
      <c r="H8" s="114">
        <v>0.55000000000000004</v>
      </c>
      <c r="I8" s="111"/>
      <c r="J8" s="117">
        <v>0.6</v>
      </c>
      <c r="K8" s="114">
        <v>0.43</v>
      </c>
      <c r="L8" s="114">
        <f t="shared" si="0"/>
        <v>0.47500000000000003</v>
      </c>
      <c r="M8" s="105"/>
      <c r="N8" s="121">
        <f t="shared" si="1"/>
        <v>-7.5000000000000009</v>
      </c>
      <c r="O8" s="46"/>
      <c r="P8" s="50">
        <v>-2.1</v>
      </c>
      <c r="Q8" s="98" t="str">
        <f t="shared" si="2"/>
        <v>ACTION IMMÉDIATE</v>
      </c>
      <c r="T8" s="1"/>
    </row>
    <row r="9" spans="1:20" ht="31.8" customHeight="1" x14ac:dyDescent="0.3">
      <c r="B9" s="97"/>
      <c r="C9" s="11" t="s">
        <v>3</v>
      </c>
      <c r="D9" s="107">
        <v>0.65</v>
      </c>
      <c r="E9" s="114">
        <v>0.6</v>
      </c>
      <c r="F9" s="111"/>
      <c r="G9" s="117">
        <v>0.55000000000000004</v>
      </c>
      <c r="H9" s="114">
        <v>0.54</v>
      </c>
      <c r="I9" s="111"/>
      <c r="J9" s="117">
        <v>0.64</v>
      </c>
      <c r="K9" s="114">
        <v>0.56999999999999995</v>
      </c>
      <c r="L9" s="114">
        <f t="shared" si="0"/>
        <v>0.59166666666666667</v>
      </c>
      <c r="M9" s="105"/>
      <c r="N9" s="121">
        <f t="shared" si="1"/>
        <v>-5.8333333333333348</v>
      </c>
      <c r="O9" s="45"/>
      <c r="P9" s="50">
        <v>0.5</v>
      </c>
      <c r="Q9" s="98" t="str">
        <f t="shared" si="2"/>
        <v>ACTION IMMÉDIATE</v>
      </c>
    </row>
    <row r="10" spans="1:20" ht="31.8" customHeight="1" x14ac:dyDescent="0.3">
      <c r="B10" s="97"/>
      <c r="C10" s="11" t="s">
        <v>61</v>
      </c>
      <c r="D10" s="107">
        <v>0.72</v>
      </c>
      <c r="E10" s="114">
        <v>0.61</v>
      </c>
      <c r="F10" s="111"/>
      <c r="G10" s="117">
        <v>0.68</v>
      </c>
      <c r="H10" s="114">
        <v>0.61</v>
      </c>
      <c r="I10" s="111"/>
      <c r="J10" s="117">
        <v>0.71</v>
      </c>
      <c r="K10" s="114">
        <v>0.55000000000000004</v>
      </c>
      <c r="L10" s="114">
        <f t="shared" si="0"/>
        <v>0.64666666666666661</v>
      </c>
      <c r="M10" s="105"/>
      <c r="N10" s="121">
        <f t="shared" si="1"/>
        <v>-7.3333333333333357</v>
      </c>
      <c r="O10" s="47"/>
      <c r="P10" s="50">
        <v>1.2</v>
      </c>
      <c r="Q10" s="98" t="str">
        <f t="shared" si="2"/>
        <v>ACTION IMMÉDIATE</v>
      </c>
    </row>
    <row r="11" spans="1:20" s="4" customFormat="1" ht="31.8" customHeight="1" x14ac:dyDescent="0.3">
      <c r="B11" s="97"/>
      <c r="C11" s="11" t="s">
        <v>56</v>
      </c>
      <c r="D11" s="107">
        <v>0.65</v>
      </c>
      <c r="E11" s="114">
        <v>0.66</v>
      </c>
      <c r="F11" s="111"/>
      <c r="G11" s="117">
        <v>0.43</v>
      </c>
      <c r="H11" s="114">
        <v>0.25</v>
      </c>
      <c r="I11" s="111"/>
      <c r="J11" s="117">
        <v>0.21</v>
      </c>
      <c r="K11" s="114">
        <v>0.1</v>
      </c>
      <c r="L11" s="114">
        <f t="shared" si="0"/>
        <v>0.38333333333333336</v>
      </c>
      <c r="M11" s="105"/>
      <c r="N11" s="121">
        <f t="shared" si="1"/>
        <v>-26.666666666666668</v>
      </c>
      <c r="O11" s="45"/>
      <c r="P11" s="50">
        <v>-0.3</v>
      </c>
      <c r="Q11" s="98" t="str">
        <f t="shared" si="2"/>
        <v>ACTION IMMÉDIATE</v>
      </c>
    </row>
    <row r="12" spans="1:20" ht="39.6" customHeight="1" x14ac:dyDescent="0.3">
      <c r="B12" s="99"/>
      <c r="C12" s="103" t="s">
        <v>11</v>
      </c>
      <c r="D12" s="108">
        <f>AVERAGE(D6:D11)</f>
        <v>0.64833333333333332</v>
      </c>
      <c r="E12" s="115">
        <f>AVERAGE(E6:E11)</f>
        <v>0.56833333333333336</v>
      </c>
      <c r="F12" s="112"/>
      <c r="G12" s="118">
        <f>AVERAGE(G6:G11)</f>
        <v>0.53000000000000014</v>
      </c>
      <c r="H12" s="115">
        <v>0.49</v>
      </c>
      <c r="I12" s="112"/>
      <c r="J12" s="118">
        <f>AVERAGE(J6:J11)</f>
        <v>0.60166666666666668</v>
      </c>
      <c r="K12" s="115">
        <f>AVERAGE(K6:K11)</f>
        <v>0.49666666666666665</v>
      </c>
      <c r="L12" s="115">
        <f t="shared" si="0"/>
        <v>0.5558333333333334</v>
      </c>
      <c r="M12" s="106"/>
      <c r="N12" s="122">
        <f>(L12-D12)*100</f>
        <v>-9.2499999999999911</v>
      </c>
      <c r="O12" s="100"/>
      <c r="P12" s="101">
        <v>6</v>
      </c>
      <c r="Q12" s="102" t="str">
        <f t="shared" si="2"/>
        <v>ACTION IMMÉDIATE</v>
      </c>
    </row>
    <row r="13" spans="1:20" ht="2.4" customHeight="1" x14ac:dyDescent="0.3">
      <c r="B13"/>
      <c r="C13"/>
      <c r="D13"/>
      <c r="E13"/>
      <c r="F13"/>
      <c r="G13"/>
      <c r="H13"/>
      <c r="I13"/>
      <c r="J13"/>
      <c r="K13"/>
      <c r="L13"/>
    </row>
    <row r="14" spans="1:20" ht="40.799999999999997" customHeight="1" x14ac:dyDescent="0.3">
      <c r="B14" s="86" t="s">
        <v>32</v>
      </c>
      <c r="C14" s="87"/>
      <c r="D14" s="51"/>
      <c r="E14" s="52"/>
      <c r="F14" s="15"/>
      <c r="G14" s="89"/>
      <c r="H14" s="74"/>
      <c r="I14" s="74"/>
      <c r="J14" s="74"/>
      <c r="K14" s="74"/>
      <c r="L14" s="75"/>
      <c r="M14" s="14"/>
      <c r="N14" s="89"/>
      <c r="O14" s="74"/>
      <c r="P14" s="74"/>
      <c r="Q14" s="75"/>
    </row>
    <row r="15" spans="1:20" ht="32.4" customHeight="1" x14ac:dyDescent="0.35">
      <c r="A15" s="49"/>
      <c r="B15" s="53" t="s">
        <v>18</v>
      </c>
      <c r="C15" s="44"/>
      <c r="D15" s="15"/>
      <c r="E15" s="54">
        <f>D12</f>
        <v>0.64833333333333332</v>
      </c>
      <c r="F15" s="20"/>
      <c r="G15" s="63"/>
      <c r="H15" s="15"/>
      <c r="I15" s="15"/>
      <c r="J15" s="15"/>
      <c r="K15" s="15"/>
      <c r="L15" s="91"/>
      <c r="M15" s="15"/>
      <c r="N15" s="90"/>
      <c r="O15" s="15"/>
      <c r="P15" s="15"/>
      <c r="Q15" s="91"/>
    </row>
    <row r="16" spans="1:20" ht="32.4" customHeight="1" x14ac:dyDescent="0.35">
      <c r="A16" s="49"/>
      <c r="B16" s="53" t="s">
        <v>19</v>
      </c>
      <c r="C16" s="44"/>
      <c r="D16" s="15"/>
      <c r="E16" s="54">
        <f>L12</f>
        <v>0.5558333333333334</v>
      </c>
      <c r="F16" s="20"/>
      <c r="G16" s="63"/>
      <c r="H16" s="15"/>
      <c r="I16" s="15"/>
      <c r="J16" s="15"/>
      <c r="K16" s="15"/>
      <c r="L16" s="91"/>
      <c r="M16" s="15"/>
      <c r="N16" s="90"/>
      <c r="O16" s="15"/>
      <c r="P16" s="15"/>
      <c r="Q16" s="91"/>
    </row>
    <row r="17" spans="1:17" ht="32.4" customHeight="1" x14ac:dyDescent="0.35">
      <c r="A17" s="49"/>
      <c r="B17" s="53" t="s">
        <v>66</v>
      </c>
      <c r="C17" s="44"/>
      <c r="D17" s="15"/>
      <c r="E17" s="54">
        <f>K12</f>
        <v>0.49666666666666665</v>
      </c>
      <c r="F17" s="20"/>
      <c r="G17" s="63"/>
      <c r="H17" s="15"/>
      <c r="I17" s="15"/>
      <c r="J17" s="15"/>
      <c r="K17" s="15"/>
      <c r="L17" s="91"/>
      <c r="M17" s="15"/>
      <c r="N17" s="90"/>
      <c r="O17" s="15"/>
      <c r="P17" s="15"/>
      <c r="Q17" s="91"/>
    </row>
    <row r="18" spans="1:17" ht="32.4" customHeight="1" x14ac:dyDescent="0.35">
      <c r="A18" s="49"/>
      <c r="B18" s="55" t="s">
        <v>20</v>
      </c>
      <c r="C18" s="88"/>
      <c r="D18" s="56"/>
      <c r="E18" s="57">
        <v>6</v>
      </c>
      <c r="F18" s="21"/>
      <c r="G18" s="68"/>
      <c r="H18" s="56"/>
      <c r="I18" s="56"/>
      <c r="J18" s="56"/>
      <c r="K18" s="56"/>
      <c r="L18" s="85"/>
      <c r="M18" s="16"/>
      <c r="N18" s="84"/>
      <c r="O18" s="56"/>
      <c r="P18" s="56"/>
      <c r="Q18" s="85"/>
    </row>
    <row r="19" spans="1:17" ht="3" customHeight="1" x14ac:dyDescent="0.3"/>
    <row r="20" spans="1:17" ht="24.6" customHeight="1" x14ac:dyDescent="0.35">
      <c r="B20" s="58"/>
      <c r="C20" s="59"/>
      <c r="D20" s="60" t="s">
        <v>28</v>
      </c>
      <c r="E20" s="61"/>
      <c r="F20" s="61"/>
      <c r="G20" s="61"/>
      <c r="H20" s="62"/>
      <c r="J20" s="72"/>
      <c r="K20" s="73" t="s">
        <v>29</v>
      </c>
      <c r="L20" s="59"/>
      <c r="M20" s="74"/>
      <c r="N20" s="75"/>
      <c r="O20" s="14"/>
      <c r="P20" s="78" t="s">
        <v>37</v>
      </c>
      <c r="Q20" s="79"/>
    </row>
    <row r="21" spans="1:17" ht="31.8" customHeight="1" x14ac:dyDescent="0.3">
      <c r="B21" s="63"/>
      <c r="C21" s="6"/>
      <c r="D21" s="29" t="s">
        <v>52</v>
      </c>
      <c r="E21" s="29"/>
      <c r="F21" s="29"/>
      <c r="G21" s="29"/>
      <c r="H21" s="64"/>
      <c r="I21" s="27"/>
      <c r="J21" s="63"/>
      <c r="K21" s="29" t="s">
        <v>60</v>
      </c>
      <c r="L21" s="28"/>
      <c r="M21" s="28"/>
      <c r="N21" s="65"/>
      <c r="O21" s="15"/>
      <c r="P21" s="80" t="s">
        <v>38</v>
      </c>
      <c r="Q21" s="81" t="s">
        <v>55</v>
      </c>
    </row>
    <row r="22" spans="1:17" ht="31.8" customHeight="1" x14ac:dyDescent="0.3">
      <c r="B22" s="63"/>
      <c r="C22" s="6"/>
      <c r="D22" s="29" t="s">
        <v>57</v>
      </c>
      <c r="E22" s="28"/>
      <c r="F22" s="28"/>
      <c r="G22" s="28"/>
      <c r="H22" s="65"/>
      <c r="I22" s="25"/>
      <c r="J22" s="63"/>
      <c r="K22" s="33" t="s">
        <v>51</v>
      </c>
      <c r="L22" s="34"/>
      <c r="M22" s="34"/>
      <c r="N22" s="67"/>
      <c r="O22" s="15"/>
      <c r="P22" s="82" t="s">
        <v>39</v>
      </c>
      <c r="Q22" s="81" t="s">
        <v>53</v>
      </c>
    </row>
    <row r="23" spans="1:17" s="3" customFormat="1" ht="31.8" customHeight="1" x14ac:dyDescent="0.3">
      <c r="B23" s="66"/>
      <c r="C23" s="23"/>
      <c r="D23" s="33" t="s">
        <v>58</v>
      </c>
      <c r="E23" s="34"/>
      <c r="F23" s="34"/>
      <c r="G23" s="34"/>
      <c r="H23" s="67"/>
      <c r="I23" s="26"/>
      <c r="J23" s="66"/>
      <c r="K23" s="33" t="s">
        <v>59</v>
      </c>
      <c r="L23" s="34"/>
      <c r="M23" s="34"/>
      <c r="N23" s="67"/>
      <c r="O23" s="23"/>
      <c r="P23" s="83" t="s">
        <v>40</v>
      </c>
      <c r="Q23" s="81" t="s">
        <v>54</v>
      </c>
    </row>
    <row r="24" spans="1:17" ht="31.8" customHeight="1" x14ac:dyDescent="0.3">
      <c r="B24" s="68"/>
      <c r="C24" s="69"/>
      <c r="D24" s="70" t="s">
        <v>65</v>
      </c>
      <c r="E24" s="70"/>
      <c r="F24" s="70"/>
      <c r="G24" s="70"/>
      <c r="H24" s="71"/>
      <c r="I24" s="25"/>
      <c r="J24" s="68"/>
      <c r="K24" s="70" t="s">
        <v>64</v>
      </c>
      <c r="L24" s="76"/>
      <c r="M24" s="76"/>
      <c r="N24" s="77"/>
      <c r="O24" s="16"/>
      <c r="P24" s="84"/>
      <c r="Q24" s="85"/>
    </row>
    <row r="25" spans="1:17" ht="1.2" customHeight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15"/>
      <c r="N25" s="15"/>
      <c r="O25" s="15"/>
      <c r="P25" s="7"/>
      <c r="Q25" s="8"/>
    </row>
    <row r="26" spans="1:17" ht="17.399999999999999" customHeight="1" x14ac:dyDescent="0.3">
      <c r="B26" s="19" t="s">
        <v>30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7" ht="16.8" customHeight="1" x14ac:dyDescent="0.3"/>
  </sheetData>
  <mergeCells count="11">
    <mergeCell ref="K21:N21"/>
    <mergeCell ref="K22:N22"/>
    <mergeCell ref="K23:N23"/>
    <mergeCell ref="K24:N24"/>
    <mergeCell ref="P20:Q20"/>
    <mergeCell ref="D21:H21"/>
    <mergeCell ref="D22:H22"/>
    <mergeCell ref="D23:H23"/>
    <mergeCell ref="D24:H24"/>
    <mergeCell ref="B26:Q26"/>
    <mergeCell ref="B2:L2"/>
  </mergeCells>
  <conditionalFormatting sqref="M6:M12">
    <cfRule type="cellIs" dxfId="36" priority="126" operator="between">
      <formula>85</formula>
      <formula>100</formula>
    </cfRule>
    <cfRule type="cellIs" dxfId="35" priority="127" operator="lessThan">
      <formula>85</formula>
    </cfRule>
  </conditionalFormatting>
  <conditionalFormatting sqref="N6:N12">
    <cfRule type="expression" dxfId="34" priority="84">
      <formula>AND(N6&lt;0,N6&gt;=-5)</formula>
    </cfRule>
    <cfRule type="expression" dxfId="33" priority="85">
      <formula>N6&gt;=0</formula>
    </cfRule>
  </conditionalFormatting>
  <conditionalFormatting sqref="N6:N12">
    <cfRule type="expression" dxfId="32" priority="76">
      <formula>N6&lt;-5</formula>
    </cfRule>
  </conditionalFormatting>
  <conditionalFormatting sqref="E18">
    <cfRule type="expression" dxfId="31" priority="66">
      <formula>AND(E18&lt;0,E18&gt;=-0.05)</formula>
    </cfRule>
    <cfRule type="expression" dxfId="30" priority="67">
      <formula>E18&gt;=0</formula>
    </cfRule>
  </conditionalFormatting>
  <conditionalFormatting sqref="E18">
    <cfRule type="expression" dxfId="29" priority="65">
      <formula>E18&lt;-0.05</formula>
    </cfRule>
  </conditionalFormatting>
  <conditionalFormatting sqref="L6:L12">
    <cfRule type="expression" dxfId="28" priority="36">
      <formula>AND(L6&gt;=$D6-5%,L6&lt;$D6)</formula>
    </cfRule>
    <cfRule type="expression" dxfId="27" priority="37">
      <formula>L6&gt;=$D6</formula>
    </cfRule>
  </conditionalFormatting>
  <conditionalFormatting sqref="L6:L12">
    <cfRule type="expression" dxfId="26" priority="35">
      <formula>L6&lt;$D6-5%</formula>
    </cfRule>
  </conditionalFormatting>
  <conditionalFormatting sqref="K6:K12">
    <cfRule type="expression" dxfId="25" priority="15">
      <formula>AND(K6&gt;=$D6-5%,K6&lt;$D6)</formula>
    </cfRule>
    <cfRule type="expression" dxfId="24" priority="16">
      <formula>K6&gt;=$D6</formula>
    </cfRule>
  </conditionalFormatting>
  <conditionalFormatting sqref="K6:K12">
    <cfRule type="expression" dxfId="23" priority="14">
      <formula>K6&lt;$D6-5%</formula>
    </cfRule>
  </conditionalFormatting>
  <conditionalFormatting sqref="E6:J12">
    <cfRule type="expression" dxfId="22" priority="12">
      <formula>AND(E6&gt;=$D6-5%,E6&lt;$D6)</formula>
    </cfRule>
    <cfRule type="expression" dxfId="21" priority="13">
      <formula>E6&gt;=$D6</formula>
    </cfRule>
  </conditionalFormatting>
  <conditionalFormatting sqref="E6:J12">
    <cfRule type="expression" dxfId="20" priority="11">
      <formula>E6&lt;$D6-5%</formula>
    </cfRule>
  </conditionalFormatting>
  <conditionalFormatting sqref="P7:P12">
    <cfRule type="expression" dxfId="19" priority="9">
      <formula>AND(P7&lt;0,P7&gt;=-5)</formula>
    </cfRule>
    <cfRule type="expression" dxfId="18" priority="10">
      <formula>P7&gt;=0</formula>
    </cfRule>
  </conditionalFormatting>
  <conditionalFormatting sqref="P7:P12">
    <cfRule type="expression" dxfId="17" priority="8">
      <formula>P7&lt;-5</formula>
    </cfRule>
  </conditionalFormatting>
  <conditionalFormatting sqref="P6">
    <cfRule type="expression" dxfId="16" priority="6">
      <formula>AND(P6&lt;0,P6&gt;=-5)</formula>
    </cfRule>
    <cfRule type="expression" dxfId="15" priority="7">
      <formula>P6&gt;=0</formula>
    </cfRule>
  </conditionalFormatting>
  <conditionalFormatting sqref="P6">
    <cfRule type="expression" dxfId="14" priority="5">
      <formula>P6&lt;-5</formula>
    </cfRule>
  </conditionalFormatting>
  <conditionalFormatting sqref="Q6:Q12">
    <cfRule type="expression" dxfId="13" priority="1">
      <formula>N6&lt;=-3</formula>
    </cfRule>
    <cfRule type="expression" dxfId="12" priority="2">
      <formula>N6&gt;=-3</formula>
    </cfRule>
    <cfRule type="expression" dxfId="11" priority="3">
      <formula>N6&gt;=0</formula>
    </cfRule>
  </conditionalFormatting>
  <pageMargins left="0.7" right="0.7" top="0.75" bottom="0.75" header="0.3" footer="0.3"/>
  <pageSetup paperSize="8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D02D-83CF-4678-89E4-67E10D61F4C6}">
  <dimension ref="A1:D7"/>
  <sheetViews>
    <sheetView workbookViewId="0">
      <selection activeCell="C17" sqref="C17"/>
    </sheetView>
  </sheetViews>
  <sheetFormatPr baseColWidth="10" defaultRowHeight="14.4" x14ac:dyDescent="0.3"/>
  <cols>
    <col min="1" max="3" width="19" customWidth="1"/>
    <col min="4" max="4" width="10.88671875" customWidth="1"/>
    <col min="8" max="8" width="17.109375" customWidth="1"/>
    <col min="9" max="9" width="14.5546875" customWidth="1"/>
    <col min="10" max="10" width="11.88671875" customWidth="1"/>
  </cols>
  <sheetData>
    <row r="1" spans="1:4" x14ac:dyDescent="0.3">
      <c r="A1" t="s">
        <v>34</v>
      </c>
      <c r="B1" s="35" t="s">
        <v>35</v>
      </c>
      <c r="C1" t="s">
        <v>33</v>
      </c>
      <c r="D1" t="s">
        <v>36</v>
      </c>
    </row>
    <row r="2" spans="1:4" x14ac:dyDescent="0.3">
      <c r="A2" t="str">
        <f>dashboard!C11</f>
        <v>C 2</v>
      </c>
      <c r="B2" s="35">
        <f>IF(SUMPRODUCT(ABS(dashboard!$N$6:$N$11))=0,0,ABS(dashboard!N11)/SUMPRODUCT(ABS(dashboard!$N$6:$N$11)))</f>
        <v>0.52805280528052789</v>
      </c>
      <c r="C2" s="42">
        <f>ABS(B2)/SUMPRODUCT(ABS($B$2:$B$7))</f>
        <v>0.528052805280528</v>
      </c>
      <c r="D2" s="35">
        <v>0.8</v>
      </c>
    </row>
    <row r="3" spans="1:4" x14ac:dyDescent="0.3">
      <c r="A3" t="str">
        <f>dashboard!C8</f>
        <v>XY</v>
      </c>
      <c r="B3" s="35">
        <f>IF(SUMPRODUCT(ABS(dashboard!$N$6:$N$11))=0,0,ABS(dashboard!N8)/SUMPRODUCT(ABS(dashboard!$N$6:$N$11)))</f>
        <v>0.14851485148514848</v>
      </c>
      <c r="C3" s="42">
        <f>SUM($B$2:B3)</f>
        <v>0.67656765676567643</v>
      </c>
      <c r="D3" s="35">
        <v>0.8</v>
      </c>
    </row>
    <row r="4" spans="1:4" x14ac:dyDescent="0.3">
      <c r="A4" t="str">
        <f>dashboard!C10</f>
        <v>C 1</v>
      </c>
      <c r="B4" s="35">
        <f>IF(SUMPRODUCT(ABS(dashboard!$N$6:$N$11))=0,0,ABS(dashboard!N10)/SUMPRODUCT(ABS(dashboard!$N$6:$N$11)))</f>
        <v>0.14521452145214522</v>
      </c>
      <c r="C4" s="42">
        <f>SUM($B$2:B4)</f>
        <v>0.82178217821782162</v>
      </c>
      <c r="D4" s="35">
        <v>0.8</v>
      </c>
    </row>
    <row r="5" spans="1:4" x14ac:dyDescent="0.3">
      <c r="A5" t="str">
        <f>dashboard!C9</f>
        <v>Z</v>
      </c>
      <c r="B5" s="35">
        <f>IF(SUMPRODUCT(ABS(dashboard!$N$6:$N$11))=0,0,ABS(dashboard!N9)/SUMPRODUCT(ABS(dashboard!$N$6:$N$11)))</f>
        <v>0.11551155115511551</v>
      </c>
      <c r="C5" s="42">
        <f>SUM($B$2:B5)</f>
        <v>0.93729372937293709</v>
      </c>
      <c r="D5" s="35">
        <v>0.8</v>
      </c>
    </row>
    <row r="6" spans="1:4" x14ac:dyDescent="0.3">
      <c r="A6" t="str">
        <f>dashboard!C7</f>
        <v>E</v>
      </c>
      <c r="B6" s="35">
        <f>IF(SUMPRODUCT(ABS(dashboard!$N$6:$N$11))=0,0,ABS(dashboard!N7)/SUMPRODUCT(ABS(dashboard!$N$6:$N$11)))</f>
        <v>4.9504950495049535E-2</v>
      </c>
      <c r="C6" s="42">
        <f>SUM($B$2:B6)</f>
        <v>0.98679867986798664</v>
      </c>
      <c r="D6" s="35">
        <v>0.8</v>
      </c>
    </row>
    <row r="7" spans="1:4" x14ac:dyDescent="0.3">
      <c r="A7" t="str">
        <f>dashboard!C6</f>
        <v>M</v>
      </c>
      <c r="B7" s="35">
        <f>IF(SUMPRODUCT(ABS(dashboard!$N$6:$N$11))=0,0,ABS(dashboard!N6)/SUMPRODUCT(ABS(dashboard!$N$6:$N$11)))</f>
        <v>1.3201320132013283E-2</v>
      </c>
      <c r="C7" s="42">
        <f>SUM($B$2:B7)</f>
        <v>0.99999999999999989</v>
      </c>
      <c r="D7" s="35">
        <v>0.8</v>
      </c>
    </row>
  </sheetData>
  <conditionalFormatting sqref="E11">
    <cfRule type="expression" dxfId="10" priority="75">
      <formula>#REF!&gt;=#REF!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0577-A1E0-4F7F-B49C-DF47459F214F}">
  <dimension ref="A2:C14"/>
  <sheetViews>
    <sheetView workbookViewId="0">
      <selection activeCell="E20" sqref="E20"/>
    </sheetView>
  </sheetViews>
  <sheetFormatPr baseColWidth="10" defaultRowHeight="14.4" x14ac:dyDescent="0.3"/>
  <sheetData>
    <row r="2" spans="1:3" x14ac:dyDescent="0.3">
      <c r="A2" t="s">
        <v>41</v>
      </c>
      <c r="B2">
        <v>63</v>
      </c>
      <c r="C2">
        <v>61</v>
      </c>
    </row>
    <row r="3" spans="1:3" x14ac:dyDescent="0.3">
      <c r="A3" t="s">
        <v>42</v>
      </c>
      <c r="B3">
        <v>64</v>
      </c>
      <c r="C3">
        <v>61</v>
      </c>
    </row>
    <row r="4" spans="1:3" x14ac:dyDescent="0.3">
      <c r="A4" t="s">
        <v>43</v>
      </c>
      <c r="B4">
        <v>65</v>
      </c>
      <c r="C4">
        <v>61</v>
      </c>
    </row>
    <row r="5" spans="1:3" x14ac:dyDescent="0.3">
      <c r="A5" t="s">
        <v>44</v>
      </c>
      <c r="B5">
        <v>71</v>
      </c>
      <c r="C5">
        <v>61</v>
      </c>
    </row>
    <row r="6" spans="1:3" x14ac:dyDescent="0.3">
      <c r="A6" t="s">
        <v>45</v>
      </c>
      <c r="B6">
        <v>72</v>
      </c>
      <c r="C6">
        <v>61</v>
      </c>
    </row>
    <row r="7" spans="1:3" x14ac:dyDescent="0.3">
      <c r="A7" t="s">
        <v>46</v>
      </c>
      <c r="B7">
        <v>73</v>
      </c>
      <c r="C7">
        <v>61</v>
      </c>
    </row>
    <row r="8" spans="1:3" x14ac:dyDescent="0.3">
      <c r="A8" t="s">
        <v>21</v>
      </c>
      <c r="B8">
        <v>64</v>
      </c>
      <c r="C8">
        <v>61</v>
      </c>
    </row>
    <row r="9" spans="1:3" x14ac:dyDescent="0.3">
      <c r="A9" t="s">
        <v>22</v>
      </c>
      <c r="B9">
        <v>61</v>
      </c>
      <c r="C9">
        <v>61</v>
      </c>
    </row>
    <row r="10" spans="1:3" x14ac:dyDescent="0.3">
      <c r="A10" t="s">
        <v>23</v>
      </c>
      <c r="B10">
        <v>62</v>
      </c>
      <c r="C10">
        <v>61</v>
      </c>
    </row>
    <row r="11" spans="1:3" x14ac:dyDescent="0.3">
      <c r="A11" t="s">
        <v>24</v>
      </c>
      <c r="B11">
        <v>56</v>
      </c>
      <c r="C11">
        <v>61</v>
      </c>
    </row>
    <row r="12" spans="1:3" x14ac:dyDescent="0.3">
      <c r="A12" t="s">
        <v>25</v>
      </c>
      <c r="B12">
        <v>50</v>
      </c>
      <c r="C12">
        <v>61</v>
      </c>
    </row>
    <row r="13" spans="1:3" x14ac:dyDescent="0.3">
      <c r="A13" t="s">
        <v>26</v>
      </c>
      <c r="B13">
        <v>62</v>
      </c>
      <c r="C13">
        <v>61</v>
      </c>
    </row>
    <row r="14" spans="1:3" x14ac:dyDescent="0.3">
      <c r="A14" t="s">
        <v>27</v>
      </c>
      <c r="B14">
        <v>81</v>
      </c>
      <c r="C14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dashboard</vt:lpstr>
      <vt:lpstr>params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PROPRIETAIRE</dc:creator>
  <cp:lastModifiedBy>PROPRIETAIRE</cp:lastModifiedBy>
  <cp:lastPrinted>2026-07-07T15:24:19Z</cp:lastPrinted>
  <dcterms:created xsi:type="dcterms:W3CDTF">2015-06-05T18:19:34Z</dcterms:created>
  <dcterms:modified xsi:type="dcterms:W3CDTF">2026-07-07T18:12:26Z</dcterms:modified>
</cp:coreProperties>
</file>